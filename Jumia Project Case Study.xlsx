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xml" ContentType="application/vnd.openxmlformats-officedocument.themeOverride+xml"/>
  <Override PartName="/xl/drawings/drawing4.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2.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3.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4.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5.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6.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7.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8.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615F03D-F95B-4790-8215-D14D9DF844B0}" xr6:coauthVersionLast="47" xr6:coauthVersionMax="47" xr10:uidLastSave="{00000000-0000-0000-0000-000000000000}"/>
  <bookViews>
    <workbookView xWindow="-110" yWindow="-110" windowWidth="19420" windowHeight="10300" firstSheet="1" activeTab="5" xr2:uid="{00000000-000D-0000-FFFF-FFFF00000000}"/>
  </bookViews>
  <sheets>
    <sheet name="Excel_jumia" sheetId="1" r:id="rId1"/>
    <sheet name="Descriptive analysis" sheetId="3" r:id="rId2"/>
    <sheet name="Product Peformance" sheetId="4" r:id="rId3"/>
    <sheet name="Pivottables" sheetId="7" r:id="rId4"/>
    <sheet name="Dashboard" sheetId="5" r:id="rId5"/>
    <sheet name="Final dashboard" sheetId="8" r:id="rId6"/>
  </sheets>
  <definedNames>
    <definedName name="_xlnm._FilterDatabase" localSheetId="0" hidden="1">Excel_jumia!$A$1:$O$114</definedName>
    <definedName name="Slicer_Discount_Category">#N/A</definedName>
    <definedName name="Slicer_Rating_category">#N/A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0" i="4" l="1"/>
  <c r="H40" i="4"/>
  <c r="I40" i="4"/>
  <c r="D41" i="4"/>
  <c r="H41" i="4"/>
  <c r="I41" i="4"/>
  <c r="D42" i="4"/>
  <c r="H42" i="4"/>
  <c r="I42" i="4"/>
  <c r="D43" i="4"/>
  <c r="H43" i="4"/>
  <c r="I43" i="4"/>
  <c r="D44" i="4"/>
  <c r="H44" i="4"/>
  <c r="I44" i="4"/>
  <c r="I45" i="4"/>
  <c r="H45" i="4"/>
  <c r="D45" i="4"/>
  <c r="I35" i="4"/>
  <c r="H35" i="4"/>
  <c r="D35" i="4"/>
  <c r="I34" i="4"/>
  <c r="H34" i="4"/>
  <c r="D34" i="4"/>
  <c r="I33" i="4"/>
  <c r="H33" i="4"/>
  <c r="D33" i="4"/>
  <c r="I32" i="4"/>
  <c r="H32" i="4"/>
  <c r="D32" i="4"/>
  <c r="I31" i="4"/>
  <c r="H31" i="4"/>
  <c r="D31" i="4"/>
  <c r="I26" i="4"/>
  <c r="H26" i="4"/>
  <c r="D26" i="4"/>
  <c r="I25" i="4"/>
  <c r="H25" i="4"/>
  <c r="D25" i="4"/>
  <c r="I24" i="4"/>
  <c r="H24" i="4"/>
  <c r="D24" i="4"/>
  <c r="I23" i="4"/>
  <c r="H23" i="4"/>
  <c r="D23" i="4"/>
  <c r="I22" i="4"/>
  <c r="H22" i="4"/>
  <c r="D22" i="4"/>
  <c r="I21" i="4"/>
  <c r="H21" i="4"/>
  <c r="D21" i="4"/>
  <c r="I20" i="4"/>
  <c r="H20" i="4"/>
  <c r="D20" i="4"/>
  <c r="I19" i="4"/>
  <c r="H19" i="4"/>
  <c r="D19" i="4"/>
  <c r="I18" i="4"/>
  <c r="H18" i="4"/>
  <c r="D18" i="4"/>
  <c r="I17" i="4"/>
  <c r="H17" i="4"/>
  <c r="D17" i="4"/>
  <c r="I12" i="4"/>
  <c r="H12" i="4"/>
  <c r="D12" i="4"/>
  <c r="I11" i="4"/>
  <c r="H11" i="4"/>
  <c r="D11" i="4"/>
  <c r="I10" i="4"/>
  <c r="H10" i="4"/>
  <c r="D10" i="4"/>
  <c r="I9" i="4"/>
  <c r="H9" i="4"/>
  <c r="D9" i="4"/>
  <c r="I8" i="4"/>
  <c r="H8" i="4"/>
  <c r="D8" i="4"/>
  <c r="I7" i="4"/>
  <c r="H7" i="4"/>
  <c r="D7" i="4"/>
  <c r="I6" i="4"/>
  <c r="H6" i="4"/>
  <c r="D6" i="4"/>
  <c r="I5" i="4"/>
  <c r="H5" i="4"/>
  <c r="D5" i="4"/>
  <c r="I4" i="4"/>
  <c r="H4" i="4"/>
  <c r="D4" i="4"/>
  <c r="I3" i="4"/>
  <c r="H3" i="4"/>
  <c r="D3" i="4"/>
  <c r="J23" i="1"/>
  <c r="O8" i="1"/>
  <c r="O7" i="1"/>
  <c r="O5" i="1"/>
  <c r="O4" i="1"/>
  <c r="O3" i="1"/>
  <c r="O2" i="1"/>
  <c r="J33" i="1"/>
  <c r="J19" i="1"/>
  <c r="J15" i="1"/>
  <c r="J11" i="1"/>
  <c r="J35" i="1"/>
  <c r="J16" i="1"/>
  <c r="J37" i="1"/>
  <c r="J10" i="1"/>
  <c r="J41" i="1"/>
  <c r="J34" i="1"/>
  <c r="J12" i="1"/>
  <c r="J9" i="1"/>
  <c r="J22" i="1"/>
  <c r="J31" i="1"/>
  <c r="J4" i="1"/>
  <c r="J5" i="1"/>
  <c r="J2" i="1"/>
  <c r="J20" i="1"/>
  <c r="J18" i="1"/>
  <c r="J42" i="1"/>
  <c r="J87" i="1"/>
  <c r="J36" i="1"/>
  <c r="J26" i="1"/>
  <c r="J30" i="1"/>
  <c r="J17" i="1"/>
  <c r="J40" i="1"/>
  <c r="J39" i="1"/>
  <c r="J32" i="1"/>
  <c r="J83" i="1"/>
  <c r="J28" i="1"/>
  <c r="J14" i="1"/>
  <c r="J29" i="1"/>
  <c r="J13" i="1"/>
  <c r="J21" i="1"/>
  <c r="J7" i="1"/>
  <c r="J3" i="1"/>
  <c r="J27" i="1"/>
  <c r="J24" i="1"/>
  <c r="J25" i="1"/>
  <c r="J92" i="1"/>
  <c r="J68" i="1"/>
  <c r="J63" i="1"/>
  <c r="J88" i="1"/>
  <c r="J108" i="1"/>
  <c r="J64" i="1"/>
  <c r="J97" i="1"/>
  <c r="J69" i="1"/>
  <c r="J93" i="1"/>
  <c r="J61" i="1"/>
  <c r="J65" i="1"/>
  <c r="J109" i="1"/>
  <c r="J100" i="1"/>
  <c r="J107" i="1"/>
  <c r="J90" i="1"/>
  <c r="J84" i="1"/>
  <c r="J77" i="1"/>
  <c r="J70" i="1"/>
  <c r="J98" i="1"/>
  <c r="J62" i="1"/>
  <c r="J52" i="1"/>
  <c r="J43" i="1"/>
  <c r="J57" i="1"/>
  <c r="J49" i="1"/>
  <c r="J50" i="1"/>
  <c r="J48" i="1"/>
  <c r="J56" i="1"/>
  <c r="J53" i="1"/>
  <c r="J45" i="1"/>
  <c r="J51" i="1"/>
  <c r="J46" i="1"/>
  <c r="J54" i="1"/>
  <c r="J44" i="1"/>
  <c r="J55" i="1"/>
  <c r="J58" i="1"/>
  <c r="J80" i="1"/>
  <c r="J85" i="1"/>
  <c r="J105" i="1"/>
  <c r="J71" i="1"/>
  <c r="J47" i="1"/>
  <c r="J6" i="1"/>
  <c r="J94" i="1"/>
  <c r="J110" i="1"/>
  <c r="J38" i="1"/>
  <c r="J72" i="1"/>
  <c r="J101" i="1"/>
  <c r="J73" i="1"/>
  <c r="J103" i="1"/>
  <c r="J74" i="1"/>
  <c r="J102" i="1"/>
  <c r="J86" i="1"/>
  <c r="J66" i="1"/>
  <c r="J78" i="1"/>
  <c r="J79" i="1"/>
  <c r="J81" i="1"/>
  <c r="J67" i="1"/>
  <c r="J104" i="1"/>
  <c r="J111" i="1"/>
  <c r="J75" i="1"/>
  <c r="J106" i="1"/>
  <c r="J76" i="1"/>
  <c r="J89" i="1"/>
  <c r="J8" i="1"/>
  <c r="J91" i="1"/>
  <c r="J114" i="1"/>
  <c r="J99" i="1"/>
  <c r="J95" i="1"/>
  <c r="J96" i="1"/>
  <c r="J112" i="1"/>
  <c r="J113" i="1"/>
  <c r="J60" i="1"/>
  <c r="J59" i="1"/>
  <c r="J82" i="1"/>
  <c r="I33" i="1"/>
  <c r="I19" i="1"/>
  <c r="I15" i="1"/>
  <c r="I11" i="1"/>
  <c r="I35" i="1"/>
  <c r="I16" i="1"/>
  <c r="I37" i="1"/>
  <c r="I10" i="1"/>
  <c r="I41" i="1"/>
  <c r="I34" i="1"/>
  <c r="I12" i="1"/>
  <c r="I9" i="1"/>
  <c r="I22" i="1"/>
  <c r="I31" i="1"/>
  <c r="I4" i="1"/>
  <c r="I5" i="1"/>
  <c r="I2" i="1"/>
  <c r="I20" i="1"/>
  <c r="I18" i="1"/>
  <c r="I42" i="1"/>
  <c r="I87" i="1"/>
  <c r="I36" i="1"/>
  <c r="I26" i="1"/>
  <c r="I30" i="1"/>
  <c r="I17" i="1"/>
  <c r="I40" i="1"/>
  <c r="I39" i="1"/>
  <c r="I32" i="1"/>
  <c r="I83" i="1"/>
  <c r="I28" i="1"/>
  <c r="I14" i="1"/>
  <c r="I29" i="1"/>
  <c r="I13" i="1"/>
  <c r="I21" i="1"/>
  <c r="I7" i="1"/>
  <c r="I3" i="1"/>
  <c r="I27" i="1"/>
  <c r="I24" i="1"/>
  <c r="I25" i="1"/>
  <c r="I92" i="1"/>
  <c r="I68" i="1"/>
  <c r="I63" i="1"/>
  <c r="I88" i="1"/>
  <c r="I108" i="1"/>
  <c r="I64" i="1"/>
  <c r="I97" i="1"/>
  <c r="I69" i="1"/>
  <c r="I93" i="1"/>
  <c r="I61" i="1"/>
  <c r="I65" i="1"/>
  <c r="I109" i="1"/>
  <c r="I100" i="1"/>
  <c r="I107" i="1"/>
  <c r="I90" i="1"/>
  <c r="I84" i="1"/>
  <c r="I77" i="1"/>
  <c r="I70" i="1"/>
  <c r="I98" i="1"/>
  <c r="I62" i="1"/>
  <c r="I52" i="1"/>
  <c r="I43" i="1"/>
  <c r="I57" i="1"/>
  <c r="I49" i="1"/>
  <c r="I50" i="1"/>
  <c r="I48" i="1"/>
  <c r="I56" i="1"/>
  <c r="I53" i="1"/>
  <c r="I45" i="1"/>
  <c r="I51" i="1"/>
  <c r="I46" i="1"/>
  <c r="I54" i="1"/>
  <c r="I44" i="1"/>
  <c r="I55" i="1"/>
  <c r="I58" i="1"/>
  <c r="I80" i="1"/>
  <c r="I85" i="1"/>
  <c r="I105" i="1"/>
  <c r="I71" i="1"/>
  <c r="I47" i="1"/>
  <c r="I6" i="1"/>
  <c r="I94" i="1"/>
  <c r="I110" i="1"/>
  <c r="I38" i="1"/>
  <c r="I72" i="1"/>
  <c r="I101" i="1"/>
  <c r="I73" i="1"/>
  <c r="I103" i="1"/>
  <c r="I74" i="1"/>
  <c r="I102" i="1"/>
  <c r="I86" i="1"/>
  <c r="I66" i="1"/>
  <c r="I78" i="1"/>
  <c r="I79" i="1"/>
  <c r="I81" i="1"/>
  <c r="I67" i="1"/>
  <c r="I104" i="1"/>
  <c r="I111" i="1"/>
  <c r="I75" i="1"/>
  <c r="I106" i="1"/>
  <c r="I76" i="1"/>
  <c r="I89" i="1"/>
  <c r="I8" i="1"/>
  <c r="I91" i="1"/>
  <c r="I114" i="1"/>
  <c r="I99" i="1"/>
  <c r="I95" i="1"/>
  <c r="I96" i="1"/>
  <c r="I112" i="1"/>
  <c r="I113" i="1"/>
  <c r="I60" i="1"/>
  <c r="I59" i="1"/>
  <c r="I82" i="1"/>
  <c r="I23" i="1"/>
  <c r="E24" i="1"/>
  <c r="E33" i="1"/>
  <c r="E19" i="1"/>
  <c r="E15" i="1"/>
  <c r="E11" i="1"/>
  <c r="E35" i="1"/>
  <c r="E16" i="1"/>
  <c r="E37" i="1"/>
  <c r="E10" i="1"/>
  <c r="E41" i="1"/>
  <c r="E34" i="1"/>
  <c r="E12" i="1"/>
  <c r="E9" i="1"/>
  <c r="E22" i="1"/>
  <c r="E31" i="1"/>
  <c r="E4" i="1"/>
  <c r="E5" i="1"/>
  <c r="E2" i="1"/>
  <c r="E20" i="1"/>
  <c r="E18" i="1"/>
  <c r="E42" i="1"/>
  <c r="E87" i="1"/>
  <c r="E36" i="1"/>
  <c r="E26" i="1"/>
  <c r="E30" i="1"/>
  <c r="E17" i="1"/>
  <c r="E40" i="1"/>
  <c r="E39" i="1"/>
  <c r="E32" i="1"/>
  <c r="E83" i="1"/>
  <c r="E28" i="1"/>
  <c r="E14" i="1"/>
  <c r="E29" i="1"/>
  <c r="E13" i="1"/>
  <c r="E21" i="1"/>
  <c r="E7" i="1"/>
  <c r="E3" i="1"/>
  <c r="E27" i="1"/>
  <c r="E25" i="1"/>
  <c r="E92" i="1"/>
  <c r="E68" i="1"/>
  <c r="E63" i="1"/>
  <c r="E88" i="1"/>
  <c r="E108" i="1"/>
  <c r="E64" i="1"/>
  <c r="E97" i="1"/>
  <c r="E69" i="1"/>
  <c r="E93" i="1"/>
  <c r="E61" i="1"/>
  <c r="E65" i="1"/>
  <c r="E109" i="1"/>
  <c r="E100" i="1"/>
  <c r="E107" i="1"/>
  <c r="E90" i="1"/>
  <c r="E84" i="1"/>
  <c r="E77" i="1"/>
  <c r="E70" i="1"/>
  <c r="E98" i="1"/>
  <c r="E62" i="1"/>
  <c r="E52" i="1"/>
  <c r="E43" i="1"/>
  <c r="E57" i="1"/>
  <c r="E49" i="1"/>
  <c r="E50" i="1"/>
  <c r="E48" i="1"/>
  <c r="E56" i="1"/>
  <c r="E53" i="1"/>
  <c r="E45" i="1"/>
  <c r="E51" i="1"/>
  <c r="E46" i="1"/>
  <c r="E54" i="1"/>
  <c r="E44" i="1"/>
  <c r="E55" i="1"/>
  <c r="E58" i="1"/>
  <c r="E80" i="1"/>
  <c r="E85" i="1"/>
  <c r="E105" i="1"/>
  <c r="E71" i="1"/>
  <c r="E47" i="1"/>
  <c r="E6" i="1"/>
  <c r="E94" i="1"/>
  <c r="E110" i="1"/>
  <c r="E38" i="1"/>
  <c r="E72" i="1"/>
  <c r="E101" i="1"/>
  <c r="E73" i="1"/>
  <c r="E103" i="1"/>
  <c r="E74" i="1"/>
  <c r="E102" i="1"/>
  <c r="E86" i="1"/>
  <c r="E66" i="1"/>
  <c r="E78" i="1"/>
  <c r="E79" i="1"/>
  <c r="E81" i="1"/>
  <c r="E67" i="1"/>
  <c r="E104" i="1"/>
  <c r="E111" i="1"/>
  <c r="E75" i="1"/>
  <c r="E106" i="1"/>
  <c r="E76" i="1"/>
  <c r="E89" i="1"/>
  <c r="E8" i="1"/>
  <c r="E91" i="1"/>
  <c r="E114" i="1"/>
  <c r="E99" i="1"/>
  <c r="E95" i="1"/>
  <c r="E96" i="1"/>
  <c r="E112" i="1"/>
  <c r="E113" i="1"/>
  <c r="E60" i="1"/>
  <c r="E59" i="1"/>
  <c r="E82" i="1"/>
  <c r="E23" i="1"/>
</calcChain>
</file>

<file path=xl/sharedStrings.xml><?xml version="1.0" encoding="utf-8"?>
<sst xmlns="http://schemas.openxmlformats.org/spreadsheetml/2006/main" count="388" uniqueCount="170">
  <si>
    <t>Product</t>
  </si>
  <si>
    <t>Current price</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</si>
  <si>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</si>
  <si>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</si>
  <si>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</si>
  <si>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</si>
  <si>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</si>
  <si>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</si>
  <si>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</si>
  <si>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</si>
  <si>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</si>
  <si>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</si>
  <si>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</si>
  <si>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</si>
  <si>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</si>
  <si>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</si>
  <si>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</si>
  <si>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</si>
  <si>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</si>
  <si>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</si>
  <si>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</si>
  <si>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</si>
  <si>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</si>
  <si>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</si>
  <si>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</si>
  <si>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</si>
  <si>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</si>
  <si>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</si>
  <si>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</si>
  <si>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</si>
  <si>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</si>
  <si>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</si>
  <si>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</si>
  <si>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</si>
  <si>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</si>
  <si>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</si>
  <si>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</si>
  <si>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</si>
  <si>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</si>
  <si>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</si>
  <si>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</si>
  <si>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</si>
  <si>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</si>
  <si>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</si>
  <si>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</si>
  <si>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</si>
  <si>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</si>
  <si>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</si>
  <si>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</si>
  <si>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</si>
  <si>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</si>
  <si>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</si>
  <si>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</si>
  <si>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</si>
  <si>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</si>
  <si>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</si>
  <si>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</si>
  <si>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</si>
  <si>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</si>
  <si>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</si>
  <si>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</si>
  <si>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</si>
  <si>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</si>
  <si>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</si>
  <si>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</si>
  <si>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</si>
  <si>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</si>
  <si>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</si>
  <si>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</si>
  <si>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</si>
  <si>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</si>
  <si>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</si>
  <si>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</si>
  <si>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</si>
  <si>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</si>
  <si>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</si>
  <si>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</si>
  <si>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</si>
  <si>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</si>
  <si>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</si>
  <si>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</si>
  <si>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</si>
  <si>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</si>
  <si>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</si>
  <si>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</si>
  <si>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</si>
  <si>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</si>
  <si>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</si>
  <si>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</si>
  <si>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</si>
  <si>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</si>
  <si>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</si>
  <si>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</si>
  <si>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</si>
  <si>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</si>
  <si>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</si>
  <si>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</si>
  <si>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</si>
  <si>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</si>
  <si>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</si>
  <si>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</si>
  <si>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</si>
  <si>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</si>
  <si>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</si>
  <si>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</si>
  <si>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</si>
  <si>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</si>
  <si>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</si>
  <si>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</si>
  <si>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</si>
  <si>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</si>
  <si>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</si>
  <si>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Old price</t>
  </si>
  <si>
    <t>Discount Amount</t>
  </si>
  <si>
    <t>1/2/3 Seater Elastic Sofa Cover,Living Room/Home Decor Chair Cover-Grey A</t>
  </si>
  <si>
    <t xml:space="preserve">1/2/3 Seater Elastic Sofa Cover,Living Room/Home Decor Chair Cover-Grey </t>
  </si>
  <si>
    <t>Rating category</t>
  </si>
  <si>
    <t>Average C.P</t>
  </si>
  <si>
    <t>Average O.P</t>
  </si>
  <si>
    <t>Average Disc.</t>
  </si>
  <si>
    <t>Average Rate</t>
  </si>
  <si>
    <t>Most Expensive Product</t>
  </si>
  <si>
    <t>Least Expensive Product</t>
  </si>
  <si>
    <t>Discount Category</t>
  </si>
  <si>
    <t>Discount Percentage</t>
  </si>
  <si>
    <t>Row Labels</t>
  </si>
  <si>
    <t>High Discount</t>
  </si>
  <si>
    <t>Low Dsicount</t>
  </si>
  <si>
    <t>Medium Discount</t>
  </si>
  <si>
    <t>Grand Total</t>
  </si>
  <si>
    <t>Average of Ratings</t>
  </si>
  <si>
    <t>Average</t>
  </si>
  <si>
    <t>Excellent</t>
  </si>
  <si>
    <t>Poor</t>
  </si>
  <si>
    <t>Count of Rating category</t>
  </si>
  <si>
    <t>TOP 10 PRODUCTS WITH HIGHEST DISCOUNTS</t>
  </si>
  <si>
    <t xml:space="preserve">TOP 10 PRODUCTS WITH MOST REVIEWS </t>
  </si>
  <si>
    <t>LOWEST RATED PRODUCTS</t>
  </si>
  <si>
    <t>HIGHEST RATED PRODUCTS</t>
  </si>
  <si>
    <t>Column1</t>
  </si>
  <si>
    <t>Column2</t>
  </si>
  <si>
    <t>Column3</t>
  </si>
  <si>
    <t>Column4</t>
  </si>
  <si>
    <t>Column5</t>
  </si>
  <si>
    <t>Column6</t>
  </si>
  <si>
    <t>Column7</t>
  </si>
  <si>
    <t>Column8</t>
  </si>
  <si>
    <t>Sum of Review</t>
  </si>
  <si>
    <t>Avg of Ratings</t>
  </si>
  <si>
    <t>Avg of Review</t>
  </si>
  <si>
    <t>JUMIA PRODUCT PERFOMANCE</t>
  </si>
  <si>
    <t>Count of Product</t>
  </si>
  <si>
    <t>No. of Products</t>
  </si>
  <si>
    <t>Total no. Reviews</t>
  </si>
  <si>
    <t>Avg of Discount %</t>
  </si>
  <si>
    <t>Total Products</t>
  </si>
  <si>
    <t>Avg Discount</t>
  </si>
  <si>
    <t>Total Reviews</t>
  </si>
  <si>
    <t>Avg Rating</t>
  </si>
  <si>
    <t>PRODUCT PERFORMANCE</t>
  </si>
  <si>
    <t>Reviews</t>
  </si>
  <si>
    <t>TREND ANALYSIS</t>
  </si>
  <si>
    <t>PRODUCT DISTRIBUTION ON CATEGORY</t>
  </si>
  <si>
    <t>Average of Discount Percentage</t>
  </si>
  <si>
    <t>Average of Review</t>
  </si>
  <si>
    <t>Product ID</t>
  </si>
  <si>
    <t>Count of Product ID</t>
  </si>
  <si>
    <t>Sum of Reviews</t>
  </si>
  <si>
    <t>null</t>
  </si>
  <si>
    <r>
      <t xml:space="preserve">                                                                                                                               </t>
    </r>
    <r>
      <rPr>
        <sz val="72"/>
        <color theme="1"/>
        <rFont val="Calibri"/>
        <family val="2"/>
        <scheme val="minor"/>
      </rPr>
      <t xml:space="preserve">                    JUMIA PRODUCT PERFOMANCE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</si>
</sst>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1"/>
      <color theme="4"/>
      <name val="Calibri"/>
      <family val="2"/>
      <scheme val="minor"/>
    </font>
    <font>
      <sz val="14"/>
      <color theme="4"/>
      <name val="Calibri"/>
      <family val="2"/>
      <scheme val="minor"/>
    </font>
    <font>
      <sz val="12"/>
      <color theme="4"/>
      <name val="Calibri"/>
      <family val="2"/>
      <scheme val="minor"/>
    </font>
    <font>
      <sz val="7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9" fontId="0" fillId="0" borderId="0" xfId="0" applyNumberFormat="1"/>
    <xf numFmtId="0" fontId="16" fillId="0" borderId="0" xfId="0" applyFont="1"/>
    <xf numFmtId="3" fontId="0" fillId="0" borderId="0" xfId="0" applyNumberFormat="1"/>
    <xf numFmtId="0" fontId="0" fillId="0" borderId="0" xfId="0" applyNumberFormat="1"/>
    <xf numFmtId="9" fontId="16" fillId="0" borderId="0" xfId="0" applyNumberFormat="1" applyFon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6" fillId="0" borderId="0" xfId="0" applyFont="1" applyAlignment="1">
      <alignment horizontal="center"/>
    </xf>
    <xf numFmtId="0" fontId="0" fillId="33" borderId="0" xfId="0" applyFill="1" applyAlignment="1">
      <alignment horizontal="center"/>
    </xf>
    <xf numFmtId="0" fontId="0" fillId="33" borderId="0" xfId="0" applyFill="1"/>
    <xf numFmtId="0" fontId="0" fillId="33" borderId="0" xfId="0" applyNumberFormat="1" applyFill="1"/>
    <xf numFmtId="164" fontId="0" fillId="33" borderId="0" xfId="0" applyNumberFormat="1" applyFill="1"/>
    <xf numFmtId="165" fontId="0" fillId="33" borderId="0" xfId="0" applyNumberFormat="1" applyFill="1"/>
    <xf numFmtId="0" fontId="0" fillId="33" borderId="0" xfId="0" applyFill="1" applyAlignment="1"/>
    <xf numFmtId="0" fontId="19" fillId="33" borderId="0" xfId="0" applyFont="1" applyFill="1" applyAlignment="1"/>
    <xf numFmtId="2" fontId="0" fillId="0" borderId="0" xfId="0" applyNumberFormat="1"/>
    <xf numFmtId="10" fontId="0" fillId="0" borderId="0" xfId="0" applyNumberFormat="1"/>
    <xf numFmtId="0" fontId="0" fillId="33" borderId="0" xfId="0" applyFill="1" applyAlignment="1">
      <alignment horizontal="center"/>
    </xf>
    <xf numFmtId="0" fontId="19" fillId="33" borderId="0" xfId="0" applyFont="1" applyFill="1" applyAlignment="1">
      <alignment horizontal="center"/>
    </xf>
    <xf numFmtId="164" fontId="18" fillId="33" borderId="0" xfId="0" applyNumberFormat="1" applyFont="1" applyFill="1" applyAlignment="1">
      <alignment horizontal="center"/>
    </xf>
    <xf numFmtId="0" fontId="18" fillId="33" borderId="0" xfId="0" applyFont="1" applyFill="1" applyAlignment="1">
      <alignment horizontal="center"/>
    </xf>
    <xf numFmtId="165" fontId="18" fillId="33" borderId="0" xfId="0" applyNumberFormat="1" applyFont="1" applyFill="1" applyAlignment="1">
      <alignment horizontal="center"/>
    </xf>
    <xf numFmtId="0" fontId="20" fillId="33" borderId="0" xfId="0" applyFont="1" applyFill="1" applyAlignment="1">
      <alignment horizontal="center"/>
    </xf>
    <xf numFmtId="0" fontId="21" fillId="33" borderId="0" xfId="0" applyFont="1" applyFill="1" applyAlignment="1">
      <alignment horizontal="center"/>
    </xf>
    <xf numFmtId="0" fontId="21" fillId="34" borderId="0" xfId="0" applyFont="1" applyFill="1" applyAlignment="1">
      <alignment horizontal="left"/>
    </xf>
    <xf numFmtId="0" fontId="21" fillId="0" borderId="0" xfId="0" applyFont="1" applyAlignment="1">
      <alignment horizontal="center"/>
    </xf>
    <xf numFmtId="0" fontId="21" fillId="0" borderId="0" xfId="0" applyFont="1" applyAlignmen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alignment wrapText="0"/>
    </dxf>
    <dxf>
      <fill>
        <patternFill>
          <bgColor theme="2"/>
        </patternFill>
      </fill>
    </dxf>
    <dxf>
      <fill>
        <patternFill>
          <bgColor theme="2"/>
        </patternFill>
      </fill>
    </dxf>
    <dxf>
      <fill>
        <patternFill>
          <bgColor theme="2"/>
        </patternFill>
      </fill>
    </dxf>
    <dxf>
      <numFmt numFmtId="164" formatCode="0.0%"/>
    </dxf>
    <dxf>
      <alignment wrapText="1"/>
    </dxf>
    <dxf>
      <alignment wrapText="1"/>
    </dxf>
    <dxf>
      <alignment wrapText="1"/>
    </dxf>
    <dxf>
      <alignment wrapText="1"/>
    </dxf>
    <dxf>
      <numFmt numFmtId="13" formatCode="0%"/>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3" formatCode="0%"/>
    </dxf>
    <dxf>
      <numFmt numFmtId="3" formatCode="#,##0"/>
    </dxf>
    <dxf>
      <alignment horizontal="center" vertical="bottom" textRotation="0" wrapText="0" indent="0" justifyLastLine="0" shrinkToFit="0" readingOrder="0"/>
    </dxf>
    <dxf>
      <numFmt numFmtId="13" formatCode="0%"/>
    </dxf>
    <dxf>
      <numFmt numFmtId="3" formatCode="#,##0"/>
    </dxf>
    <dxf>
      <numFmt numFmtId="3" formatCode="#,##0"/>
    </dxf>
    <dxf>
      <numFmt numFmtId="3" formatCode="#,##0"/>
    </dxf>
    <dxf>
      <alignment horizontal="center" vertical="bottom" textRotation="0" wrapText="0" indent="0" justifyLastLine="0" shrinkToFit="0" readingOrder="0"/>
    </dxf>
    <dxf>
      <numFmt numFmtId="13" formatCode="0%"/>
    </dxf>
    <dxf>
      <numFmt numFmtId="3" formatCode="#,##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[Excel_jumia.xlsx]Descriptive 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distributions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'Descriptive analysis'!$C$16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148-4461-988F-EECA8C529B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148-4461-988F-EECA8C529B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48-4461-988F-EECA8C529B01}"/>
              </c:ext>
            </c:extLst>
          </c:dPt>
          <c:dLbls>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148-4461-988F-EECA8C529B01}"/>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48-4461-988F-EECA8C529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analysis'!$B$17:$B$20</c:f>
              <c:strCache>
                <c:ptCount val="3"/>
                <c:pt idx="0">
                  <c:v>Average</c:v>
                </c:pt>
                <c:pt idx="1">
                  <c:v>Excellent</c:v>
                </c:pt>
                <c:pt idx="2">
                  <c:v>Poor</c:v>
                </c:pt>
              </c:strCache>
            </c:strRef>
          </c:cat>
          <c:val>
            <c:numRef>
              <c:f>'Descriptive analysis'!$C$17:$C$20</c:f>
              <c:numCache>
                <c:formatCode>General</c:formatCode>
                <c:ptCount val="3"/>
                <c:pt idx="0">
                  <c:v>22</c:v>
                </c:pt>
                <c:pt idx="1">
                  <c:v>24</c:v>
                </c:pt>
                <c:pt idx="2">
                  <c:v>67</c:v>
                </c:pt>
              </c:numCache>
            </c:numRef>
          </c:val>
          <c:extLst>
            <c:ext xmlns:c16="http://schemas.microsoft.com/office/drawing/2014/chart" uri="{C3380CC4-5D6E-409C-BE32-E72D297353CC}">
              <c16:uniqueId val="{00000000-3148-4461-988F-EECA8C529B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with Highest No.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Pivottables!$B$18</c:f>
              <c:strCache>
                <c:ptCount val="1"/>
                <c:pt idx="0">
                  <c:v>Total</c:v>
                </c:pt>
              </c:strCache>
            </c:strRef>
          </c:tx>
          <c:spPr>
            <a:solidFill>
              <a:schemeClr val="accent1"/>
            </a:solidFill>
            <a:ln>
              <a:noFill/>
            </a:ln>
            <a:effectLst/>
            <a:sp3d/>
          </c:spPr>
          <c:invertIfNegative val="0"/>
          <c:cat>
            <c:strRef>
              <c:f>Pivottables!$A$19:$A$29</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Pivottables!$B$19:$B$29</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772B-4765-8118-F414A9C07E2C}"/>
            </c:ext>
          </c:extLst>
        </c:ser>
        <c:dLbls>
          <c:showLegendKey val="0"/>
          <c:showVal val="0"/>
          <c:showCatName val="0"/>
          <c:showSerName val="0"/>
          <c:showPercent val="0"/>
          <c:showBubbleSize val="0"/>
        </c:dLbls>
        <c:gapWidth val="150"/>
        <c:shape val="box"/>
        <c:axId val="546526368"/>
        <c:axId val="546528664"/>
        <c:axId val="0"/>
      </c:bar3DChart>
      <c:catAx>
        <c:axId val="54652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28664"/>
        <c:crosses val="autoZero"/>
        <c:auto val="1"/>
        <c:lblAlgn val="ctr"/>
        <c:lblOffset val="100"/>
        <c:noMultiLvlLbl val="0"/>
      </c:catAx>
      <c:valAx>
        <c:axId val="546528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2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Discount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Pivottables!$B$31</c:f>
              <c:strCache>
                <c:ptCount val="1"/>
                <c:pt idx="0">
                  <c:v>Total</c:v>
                </c:pt>
              </c:strCache>
            </c:strRef>
          </c:tx>
          <c:spPr>
            <a:solidFill>
              <a:schemeClr val="accent1"/>
            </a:solidFill>
            <a:ln>
              <a:noFill/>
            </a:ln>
            <a:effectLst/>
            <a:sp3d/>
          </c:spPr>
          <c:invertIfNegative val="0"/>
          <c:cat>
            <c:strRef>
              <c:f>Pivottables!$A$32:$A$42</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Pivottables!$B$32:$B$42</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B715-41E7-891C-D5015C13F848}"/>
            </c:ext>
          </c:extLst>
        </c:ser>
        <c:dLbls>
          <c:showLegendKey val="0"/>
          <c:showVal val="0"/>
          <c:showCatName val="0"/>
          <c:showSerName val="0"/>
          <c:showPercent val="0"/>
          <c:showBubbleSize val="0"/>
        </c:dLbls>
        <c:gapWidth val="150"/>
        <c:shape val="box"/>
        <c:axId val="557918328"/>
        <c:axId val="557918656"/>
        <c:axId val="0"/>
      </c:bar3DChart>
      <c:catAx>
        <c:axId val="557918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557918656"/>
        <c:crosses val="autoZero"/>
        <c:auto val="1"/>
        <c:lblAlgn val="ctr"/>
        <c:lblOffset val="100"/>
        <c:noMultiLvlLbl val="0"/>
      </c:catAx>
      <c:valAx>
        <c:axId val="55791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1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Distribution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Pivottables!$B$47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BE-45E7-B8DB-8C7DFFA5DA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BE-45E7-B8DB-8C7DFFA5DA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BE-45E7-B8DB-8C7DFFA5DA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Pivottables!$A$48:$A$51</c:f>
              <c:strCache>
                <c:ptCount val="3"/>
                <c:pt idx="0">
                  <c:v>Poor</c:v>
                </c:pt>
                <c:pt idx="1">
                  <c:v>Excellent</c:v>
                </c:pt>
                <c:pt idx="2">
                  <c:v>Average</c:v>
                </c:pt>
              </c:strCache>
            </c:strRef>
          </c:cat>
          <c:val>
            <c:numRef>
              <c:f>Pivottables!$B$48:$B$51</c:f>
              <c:numCache>
                <c:formatCode>General</c:formatCode>
                <c:ptCount val="3"/>
                <c:pt idx="0">
                  <c:v>67</c:v>
                </c:pt>
                <c:pt idx="1">
                  <c:v>24</c:v>
                </c:pt>
                <c:pt idx="2">
                  <c:v>22</c:v>
                </c:pt>
              </c:numCache>
            </c:numRef>
          </c:val>
          <c:extLst>
            <c:ext xmlns:c16="http://schemas.microsoft.com/office/drawing/2014/chart" uri="{C3380CC4-5D6E-409C-BE32-E72D297353CC}">
              <c16:uniqueId val="{00000000-A21B-4D82-815C-69B6C23899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Distribution bby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Pivottables!$B$62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96-4F7D-9A2B-0FD10CAB9E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96-4F7D-9A2B-0FD10CAB9E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96-4F7D-9A2B-0FD10CAB9E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Pivottables!$A$63:$A$66</c:f>
              <c:strCache>
                <c:ptCount val="3"/>
                <c:pt idx="0">
                  <c:v>High Discount</c:v>
                </c:pt>
                <c:pt idx="1">
                  <c:v>Medium Discount</c:v>
                </c:pt>
                <c:pt idx="2">
                  <c:v>Low Dsicount</c:v>
                </c:pt>
              </c:strCache>
            </c:strRef>
          </c:cat>
          <c:val>
            <c:numRef>
              <c:f>Pivottables!$B$63:$B$66</c:f>
              <c:numCache>
                <c:formatCode>General</c:formatCode>
                <c:ptCount val="3"/>
                <c:pt idx="0">
                  <c:v>63</c:v>
                </c:pt>
                <c:pt idx="1">
                  <c:v>32</c:v>
                </c:pt>
                <c:pt idx="2">
                  <c:v>18</c:v>
                </c:pt>
              </c:numCache>
            </c:numRef>
          </c:val>
          <c:extLst>
            <c:ext xmlns:c16="http://schemas.microsoft.com/office/drawing/2014/chart" uri="{C3380CC4-5D6E-409C-BE32-E72D297353CC}">
              <c16:uniqueId val="{00000000-6056-487A-AC92-D9C18CB8BDF2}"/>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[Excel_jumia.xlsx]Pivottables!PivotTable7</c:name>
    <c:fmtId val="6"/>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Top</a:t>
            </a:r>
            <a:r>
              <a:rPr lang="en-US" baseline="0">
                <a:solidFill>
                  <a:schemeClr val="accent5"/>
                </a:solidFill>
              </a:rPr>
              <a:t> 10 Product Reviews </a:t>
            </a:r>
          </a:p>
        </c:rich>
      </c:tx>
      <c:layout>
        <c:manualLayout>
          <c:xMode val="edge"/>
          <c:yMode val="edge"/>
          <c:x val="0.18786638041491321"/>
          <c:y val="3.542978138151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Pivottables!$B$4:$B$14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4BD9-47D0-87A0-2F7EFA672FAE}"/>
            </c:ext>
          </c:extLst>
        </c:ser>
        <c:dLbls>
          <c:showLegendKey val="0"/>
          <c:showVal val="0"/>
          <c:showCatName val="0"/>
          <c:showSerName val="0"/>
          <c:showPercent val="0"/>
          <c:showBubbleSize val="0"/>
        </c:dLbls>
        <c:gapWidth val="182"/>
        <c:axId val="555383440"/>
        <c:axId val="555383768"/>
      </c:barChart>
      <c:catAx>
        <c:axId val="55538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555383768"/>
        <c:crosses val="autoZero"/>
        <c:auto val="1"/>
        <c:lblAlgn val="ctr"/>
        <c:lblOffset val="100"/>
        <c:noMultiLvlLbl val="0"/>
      </c:catAx>
      <c:valAx>
        <c:axId val="555383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8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[Excel_jumia.xlsx]Pivottables!PivotTable8</c:name>
    <c:fmtId val="4"/>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Products</a:t>
            </a:r>
            <a:r>
              <a:rPr lang="en-US" baseline="0">
                <a:solidFill>
                  <a:schemeClr val="accent5"/>
                </a:solidFill>
              </a:rPr>
              <a:t> with Highest No.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Pivottables!$B$18</c:f>
              <c:strCache>
                <c:ptCount val="1"/>
                <c:pt idx="0">
                  <c:v>Total</c:v>
                </c:pt>
              </c:strCache>
            </c:strRef>
          </c:tx>
          <c:spPr>
            <a:solidFill>
              <a:schemeClr val="accent1"/>
            </a:solidFill>
            <a:ln>
              <a:noFill/>
            </a:ln>
            <a:effectLst/>
            <a:sp3d/>
          </c:spPr>
          <c:invertIfNegative val="0"/>
          <c:cat>
            <c:strRef>
              <c:f>Pivottables!$A$19:$A$29</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Pivottables!$B$19:$B$29</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B1FC-48F5-99B4-EFB25AECFFD0}"/>
            </c:ext>
          </c:extLst>
        </c:ser>
        <c:dLbls>
          <c:showLegendKey val="0"/>
          <c:showVal val="0"/>
          <c:showCatName val="0"/>
          <c:showSerName val="0"/>
          <c:showPercent val="0"/>
          <c:showBubbleSize val="0"/>
        </c:dLbls>
        <c:gapWidth val="150"/>
        <c:shape val="box"/>
        <c:axId val="546526368"/>
        <c:axId val="546528664"/>
        <c:axId val="0"/>
      </c:bar3DChart>
      <c:catAx>
        <c:axId val="54652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546528664"/>
        <c:crosses val="autoZero"/>
        <c:auto val="1"/>
        <c:lblAlgn val="ctr"/>
        <c:lblOffset val="100"/>
        <c:noMultiLvlLbl val="0"/>
      </c:catAx>
      <c:valAx>
        <c:axId val="546528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2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[Excel_jumia.xlsx]Pivottables!PivotTable9</c:name>
    <c:fmtId val="3"/>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Top</a:t>
            </a:r>
            <a:r>
              <a:rPr lang="en-US" baseline="0">
                <a:solidFill>
                  <a:schemeClr val="accent5"/>
                </a:solidFill>
              </a:rPr>
              <a:t> Products by Discount Percentage</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Pivottables!$B$31</c:f>
              <c:strCache>
                <c:ptCount val="1"/>
                <c:pt idx="0">
                  <c:v>Total</c:v>
                </c:pt>
              </c:strCache>
            </c:strRef>
          </c:tx>
          <c:spPr>
            <a:solidFill>
              <a:schemeClr val="accent1"/>
            </a:solidFill>
            <a:ln>
              <a:noFill/>
            </a:ln>
            <a:effectLst/>
            <a:sp3d/>
          </c:spPr>
          <c:invertIfNegative val="0"/>
          <c:cat>
            <c:strRef>
              <c:f>Pivottables!$A$32:$A$42</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Pivottables!$B$32:$B$42</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AE8B-4FCF-8F92-E86F81AC37AC}"/>
            </c:ext>
          </c:extLst>
        </c:ser>
        <c:dLbls>
          <c:showLegendKey val="0"/>
          <c:showVal val="0"/>
          <c:showCatName val="0"/>
          <c:showSerName val="0"/>
          <c:showPercent val="0"/>
          <c:showBubbleSize val="0"/>
        </c:dLbls>
        <c:gapWidth val="150"/>
        <c:shape val="box"/>
        <c:axId val="557918328"/>
        <c:axId val="557918656"/>
        <c:axId val="0"/>
      </c:bar3DChart>
      <c:catAx>
        <c:axId val="557918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557918656"/>
        <c:crosses val="autoZero"/>
        <c:auto val="1"/>
        <c:lblAlgn val="ctr"/>
        <c:lblOffset val="100"/>
        <c:noMultiLvlLbl val="0"/>
      </c:catAx>
      <c:valAx>
        <c:axId val="55791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1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Discount</a:t>
            </a:r>
            <a:r>
              <a:rPr lang="en-US" baseline="0">
                <a:solidFill>
                  <a:schemeClr val="accent5"/>
                </a:solidFill>
              </a:rPr>
              <a:t> % vs Reviews</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lotArea>
      <c:layout/>
      <c:scatterChart>
        <c:scatterStyle val="lineMarker"/>
        <c:varyColors val="0"/>
        <c:ser>
          <c:idx val="0"/>
          <c:order val="0"/>
          <c:tx>
            <c:strRef>
              <c:f>Excel_jumia!$G$1</c:f>
              <c:strCache>
                <c:ptCount val="1"/>
                <c:pt idx="0">
                  <c:v>Reviews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Excel_jumia!$F$2:$F$114</c:f>
              <c:numCache>
                <c:formatCode>0%</c:formatCode>
                <c:ptCount val="113"/>
                <c:pt idx="0">
                  <c:v>0.49</c:v>
                </c:pt>
                <c:pt idx="1">
                  <c:v>0.53</c:v>
                </c:pt>
                <c:pt idx="2">
                  <c:v>0.51</c:v>
                </c:pt>
                <c:pt idx="3">
                  <c:v>0.46</c:v>
                </c:pt>
                <c:pt idx="4">
                  <c:v>0.49</c:v>
                </c:pt>
                <c:pt idx="5">
                  <c:v>0.4</c:v>
                </c:pt>
                <c:pt idx="6">
                  <c:v>0.21</c:v>
                </c:pt>
                <c:pt idx="7">
                  <c:v>0.47</c:v>
                </c:pt>
                <c:pt idx="8">
                  <c:v>0.55000000000000004</c:v>
                </c:pt>
                <c:pt idx="9">
                  <c:v>0.26</c:v>
                </c:pt>
                <c:pt idx="10">
                  <c:v>0.34</c:v>
                </c:pt>
                <c:pt idx="11">
                  <c:v>0.27</c:v>
                </c:pt>
                <c:pt idx="12">
                  <c:v>0.34</c:v>
                </c:pt>
                <c:pt idx="13">
                  <c:v>0.37</c:v>
                </c:pt>
                <c:pt idx="14">
                  <c:v>0.24</c:v>
                </c:pt>
                <c:pt idx="15">
                  <c:v>0.35</c:v>
                </c:pt>
                <c:pt idx="16">
                  <c:v>0.49</c:v>
                </c:pt>
                <c:pt idx="17">
                  <c:v>0.25</c:v>
                </c:pt>
                <c:pt idx="18">
                  <c:v>0.19</c:v>
                </c:pt>
                <c:pt idx="19">
                  <c:v>0.27</c:v>
                </c:pt>
                <c:pt idx="20">
                  <c:v>0.42</c:v>
                </c:pt>
                <c:pt idx="21">
                  <c:v>0.38</c:v>
                </c:pt>
                <c:pt idx="22">
                  <c:v>0.38</c:v>
                </c:pt>
                <c:pt idx="23">
                  <c:v>0.38</c:v>
                </c:pt>
                <c:pt idx="24">
                  <c:v>0.23</c:v>
                </c:pt>
                <c:pt idx="25">
                  <c:v>0.41</c:v>
                </c:pt>
                <c:pt idx="26">
                  <c:v>0.52</c:v>
                </c:pt>
                <c:pt idx="27">
                  <c:v>0.48</c:v>
                </c:pt>
                <c:pt idx="28">
                  <c:v>0.54</c:v>
                </c:pt>
                <c:pt idx="29">
                  <c:v>0.33</c:v>
                </c:pt>
                <c:pt idx="30">
                  <c:v>0.3</c:v>
                </c:pt>
                <c:pt idx="31">
                  <c:v>0.47</c:v>
                </c:pt>
                <c:pt idx="32">
                  <c:v>0.2</c:v>
                </c:pt>
                <c:pt idx="33">
                  <c:v>0.09</c:v>
                </c:pt>
                <c:pt idx="34">
                  <c:v>0.35</c:v>
                </c:pt>
                <c:pt idx="35">
                  <c:v>0.37</c:v>
                </c:pt>
                <c:pt idx="36">
                  <c:v>0.49</c:v>
                </c:pt>
                <c:pt idx="37">
                  <c:v>0.32</c:v>
                </c:pt>
                <c:pt idx="38">
                  <c:v>0.18</c:v>
                </c:pt>
                <c:pt idx="39">
                  <c:v>0.45</c:v>
                </c:pt>
                <c:pt idx="40">
                  <c:v>0.53</c:v>
                </c:pt>
                <c:pt idx="41">
                  <c:v>0.54</c:v>
                </c:pt>
                <c:pt idx="42">
                  <c:v>0.43</c:v>
                </c:pt>
                <c:pt idx="43">
                  <c:v>0.39</c:v>
                </c:pt>
                <c:pt idx="44">
                  <c:v>0.28999999999999998</c:v>
                </c:pt>
                <c:pt idx="45">
                  <c:v>0.46</c:v>
                </c:pt>
                <c:pt idx="46">
                  <c:v>0.22</c:v>
                </c:pt>
                <c:pt idx="47">
                  <c:v>0.49</c:v>
                </c:pt>
                <c:pt idx="48">
                  <c:v>0.52</c:v>
                </c:pt>
                <c:pt idx="49">
                  <c:v>0.45</c:v>
                </c:pt>
                <c:pt idx="50">
                  <c:v>0.13</c:v>
                </c:pt>
                <c:pt idx="51">
                  <c:v>0.5</c:v>
                </c:pt>
                <c:pt idx="52">
                  <c:v>0.43</c:v>
                </c:pt>
                <c:pt idx="53">
                  <c:v>0.47</c:v>
                </c:pt>
                <c:pt idx="54">
                  <c:v>0.45</c:v>
                </c:pt>
                <c:pt idx="55">
                  <c:v>0.55000000000000004</c:v>
                </c:pt>
                <c:pt idx="56">
                  <c:v>0.47</c:v>
                </c:pt>
                <c:pt idx="57">
                  <c:v>0.5</c:v>
                </c:pt>
                <c:pt idx="58">
                  <c:v>0.64</c:v>
                </c:pt>
                <c:pt idx="59">
                  <c:v>0.61</c:v>
                </c:pt>
                <c:pt idx="60">
                  <c:v>0.55000000000000004</c:v>
                </c:pt>
                <c:pt idx="61">
                  <c:v>0.5</c:v>
                </c:pt>
                <c:pt idx="62">
                  <c:v>0.5</c:v>
                </c:pt>
                <c:pt idx="63">
                  <c:v>0.5</c:v>
                </c:pt>
                <c:pt idx="64">
                  <c:v>0.5</c:v>
                </c:pt>
                <c:pt idx="65">
                  <c:v>0.5</c:v>
                </c:pt>
                <c:pt idx="66">
                  <c:v>0.49</c:v>
                </c:pt>
                <c:pt idx="67">
                  <c:v>0.49</c:v>
                </c:pt>
                <c:pt idx="68">
                  <c:v>0.49</c:v>
                </c:pt>
                <c:pt idx="69">
                  <c:v>0.49</c:v>
                </c:pt>
                <c:pt idx="70">
                  <c:v>0.49</c:v>
                </c:pt>
                <c:pt idx="71">
                  <c:v>0.49</c:v>
                </c:pt>
                <c:pt idx="72">
                  <c:v>0.49</c:v>
                </c:pt>
                <c:pt idx="73">
                  <c:v>0.49</c:v>
                </c:pt>
                <c:pt idx="74">
                  <c:v>0.49</c:v>
                </c:pt>
                <c:pt idx="75">
                  <c:v>0.48</c:v>
                </c:pt>
                <c:pt idx="76">
                  <c:v>0.48</c:v>
                </c:pt>
                <c:pt idx="77">
                  <c:v>0.48</c:v>
                </c:pt>
                <c:pt idx="78">
                  <c:v>0.47</c:v>
                </c:pt>
                <c:pt idx="79">
                  <c:v>0.47</c:v>
                </c:pt>
                <c:pt idx="80">
                  <c:v>0.47</c:v>
                </c:pt>
                <c:pt idx="81">
                  <c:v>0.46</c:v>
                </c:pt>
                <c:pt idx="82">
                  <c:v>0.45</c:v>
                </c:pt>
                <c:pt idx="83">
                  <c:v>0.43</c:v>
                </c:pt>
                <c:pt idx="84">
                  <c:v>0.43</c:v>
                </c:pt>
                <c:pt idx="85">
                  <c:v>0.42</c:v>
                </c:pt>
                <c:pt idx="86">
                  <c:v>0.42</c:v>
                </c:pt>
                <c:pt idx="87">
                  <c:v>0.42</c:v>
                </c:pt>
                <c:pt idx="88">
                  <c:v>0.41</c:v>
                </c:pt>
                <c:pt idx="89">
                  <c:v>0.41</c:v>
                </c:pt>
                <c:pt idx="90">
                  <c:v>0.38</c:v>
                </c:pt>
                <c:pt idx="91">
                  <c:v>0.38</c:v>
                </c:pt>
                <c:pt idx="92">
                  <c:v>0.36</c:v>
                </c:pt>
                <c:pt idx="93">
                  <c:v>0.34</c:v>
                </c:pt>
                <c:pt idx="94">
                  <c:v>0.34</c:v>
                </c:pt>
                <c:pt idx="95">
                  <c:v>0.33</c:v>
                </c:pt>
                <c:pt idx="96">
                  <c:v>0.27</c:v>
                </c:pt>
                <c:pt idx="97">
                  <c:v>0.24</c:v>
                </c:pt>
                <c:pt idx="98">
                  <c:v>0.22</c:v>
                </c:pt>
                <c:pt idx="99">
                  <c:v>0.14000000000000001</c:v>
                </c:pt>
                <c:pt idx="100">
                  <c:v>0.14000000000000001</c:v>
                </c:pt>
                <c:pt idx="101">
                  <c:v>0.11</c:v>
                </c:pt>
                <c:pt idx="102">
                  <c:v>0.08</c:v>
                </c:pt>
                <c:pt idx="103">
                  <c:v>0.04</c:v>
                </c:pt>
                <c:pt idx="104">
                  <c:v>0.04</c:v>
                </c:pt>
                <c:pt idx="105">
                  <c:v>0.03</c:v>
                </c:pt>
                <c:pt idx="106">
                  <c:v>0.02</c:v>
                </c:pt>
                <c:pt idx="107">
                  <c:v>0.02</c:v>
                </c:pt>
                <c:pt idx="108">
                  <c:v>0.02</c:v>
                </c:pt>
                <c:pt idx="109">
                  <c:v>0.02</c:v>
                </c:pt>
                <c:pt idx="110">
                  <c:v>0.02</c:v>
                </c:pt>
                <c:pt idx="111">
                  <c:v>0.02</c:v>
                </c:pt>
                <c:pt idx="112">
                  <c:v>0.01</c:v>
                </c:pt>
              </c:numCache>
            </c:numRef>
          </c:xVal>
          <c:yVal>
            <c:numRef>
              <c:f>Excel_jumia!$G$2:$G$114</c:f>
              <c:numCache>
                <c:formatCode>General</c:formatCode>
                <c:ptCount val="113"/>
                <c:pt idx="0">
                  <c:v>3</c:v>
                </c:pt>
                <c:pt idx="1">
                  <c:v>2</c:v>
                </c:pt>
                <c:pt idx="2">
                  <c:v>2</c:v>
                </c:pt>
                <c:pt idx="3">
                  <c:v>2</c:v>
                </c:pt>
                <c:pt idx="4">
                  <c:v>1</c:v>
                </c:pt>
                <c:pt idx="5">
                  <c:v>1</c:v>
                </c:pt>
                <c:pt idx="6">
                  <c:v>1</c:v>
                </c:pt>
                <c:pt idx="7">
                  <c:v>12</c:v>
                </c:pt>
                <c:pt idx="8">
                  <c:v>5</c:v>
                </c:pt>
                <c:pt idx="9">
                  <c:v>5</c:v>
                </c:pt>
                <c:pt idx="10">
                  <c:v>39</c:v>
                </c:pt>
                <c:pt idx="11">
                  <c:v>20</c:v>
                </c:pt>
                <c:pt idx="12">
                  <c:v>12</c:v>
                </c:pt>
                <c:pt idx="13">
                  <c:v>7</c:v>
                </c:pt>
                <c:pt idx="14">
                  <c:v>55</c:v>
                </c:pt>
                <c:pt idx="15">
                  <c:v>49</c:v>
                </c:pt>
                <c:pt idx="16">
                  <c:v>44</c:v>
                </c:pt>
                <c:pt idx="17">
                  <c:v>24</c:v>
                </c:pt>
                <c:pt idx="18">
                  <c:v>5</c:v>
                </c:pt>
                <c:pt idx="19">
                  <c:v>32</c:v>
                </c:pt>
                <c:pt idx="20">
                  <c:v>6</c:v>
                </c:pt>
                <c:pt idx="21">
                  <c:v>2</c:v>
                </c:pt>
                <c:pt idx="22" formatCode="#,##0">
                  <c:v>2</c:v>
                </c:pt>
                <c:pt idx="23">
                  <c:v>2</c:v>
                </c:pt>
                <c:pt idx="24">
                  <c:v>14</c:v>
                </c:pt>
                <c:pt idx="25">
                  <c:v>36</c:v>
                </c:pt>
                <c:pt idx="26">
                  <c:v>9</c:v>
                </c:pt>
                <c:pt idx="27">
                  <c:v>9</c:v>
                </c:pt>
                <c:pt idx="28">
                  <c:v>7</c:v>
                </c:pt>
                <c:pt idx="29">
                  <c:v>9</c:v>
                </c:pt>
                <c:pt idx="30">
                  <c:v>20</c:v>
                </c:pt>
                <c:pt idx="31">
                  <c:v>14</c:v>
                </c:pt>
                <c:pt idx="32">
                  <c:v>12</c:v>
                </c:pt>
                <c:pt idx="33">
                  <c:v>15</c:v>
                </c:pt>
                <c:pt idx="34">
                  <c:v>6</c:v>
                </c:pt>
                <c:pt idx="35">
                  <c:v>2</c:v>
                </c:pt>
                <c:pt idx="36">
                  <c:v>1</c:v>
                </c:pt>
                <c:pt idx="37">
                  <c:v>13</c:v>
                </c:pt>
                <c:pt idx="38">
                  <c:v>12</c:v>
                </c:pt>
                <c:pt idx="39">
                  <c:v>5</c:v>
                </c:pt>
                <c:pt idx="40">
                  <c:v>13</c:v>
                </c:pt>
                <c:pt idx="41">
                  <c:v>10</c:v>
                </c:pt>
                <c:pt idx="42">
                  <c:v>5</c:v>
                </c:pt>
                <c:pt idx="43">
                  <c:v>5</c:v>
                </c:pt>
                <c:pt idx="44">
                  <c:v>5</c:v>
                </c:pt>
                <c:pt idx="45">
                  <c:v>1</c:v>
                </c:pt>
                <c:pt idx="46">
                  <c:v>16</c:v>
                </c:pt>
                <c:pt idx="47">
                  <c:v>69</c:v>
                </c:pt>
                <c:pt idx="48">
                  <c:v>15</c:v>
                </c:pt>
                <c:pt idx="49">
                  <c:v>17</c:v>
                </c:pt>
                <c:pt idx="50">
                  <c:v>6</c:v>
                </c:pt>
                <c:pt idx="51">
                  <c:v>7</c:v>
                </c:pt>
                <c:pt idx="52">
                  <c:v>6</c:v>
                </c:pt>
                <c:pt idx="53">
                  <c:v>6</c:v>
                </c:pt>
                <c:pt idx="54">
                  <c:v>6</c:v>
                </c:pt>
                <c:pt idx="55">
                  <c:v>13</c:v>
                </c:pt>
                <c:pt idx="56">
                  <c:v>7</c:v>
                </c:pt>
                <c:pt idx="57">
                  <c:v>1</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numCache>
            </c:numRef>
          </c:yVal>
          <c:smooth val="0"/>
          <c:extLst>
            <c:ext xmlns:c16="http://schemas.microsoft.com/office/drawing/2014/chart" uri="{C3380CC4-5D6E-409C-BE32-E72D297353CC}">
              <c16:uniqueId val="{00000001-D77F-49F2-A8C2-E4A7ACE70E6B}"/>
            </c:ext>
          </c:extLst>
        </c:ser>
        <c:dLbls>
          <c:showLegendKey val="0"/>
          <c:showVal val="0"/>
          <c:showCatName val="0"/>
          <c:showSerName val="0"/>
          <c:showPercent val="0"/>
          <c:showBubbleSize val="0"/>
        </c:dLbls>
        <c:axId val="672525848"/>
        <c:axId val="672519288"/>
      </c:scatterChart>
      <c:valAx>
        <c:axId val="672525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baseline="0">
                    <a:solidFill>
                      <a:schemeClr val="accent5"/>
                    </a:solidFill>
                  </a:rPr>
                  <a:t>Percentage 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19288"/>
        <c:crosses val="autoZero"/>
        <c:crossBetween val="midCat"/>
      </c:valAx>
      <c:valAx>
        <c:axId val="672519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a:solidFill>
                      <a:schemeClr val="accent5"/>
                    </a:solidFill>
                  </a:rPr>
                  <a:t>No</a:t>
                </a:r>
                <a:r>
                  <a:rPr lang="en-US" baseline="0">
                    <a:solidFill>
                      <a:schemeClr val="accent5"/>
                    </a:solidFill>
                  </a:rPr>
                  <a:t>. of R</a:t>
                </a:r>
                <a:r>
                  <a:rPr lang="en-US">
                    <a:solidFill>
                      <a:schemeClr val="accent5"/>
                    </a:solidFill>
                  </a:rPr>
                  <a:t>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258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Ratings Vs</a:t>
            </a:r>
            <a:r>
              <a:rPr lang="en-US" baseline="0">
                <a:solidFill>
                  <a:schemeClr val="accent5"/>
                </a:solidFill>
              </a:rPr>
              <a:t> Reviews</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lotArea>
      <c:layout/>
      <c:scatterChart>
        <c:scatterStyle val="lineMarker"/>
        <c:varyColors val="0"/>
        <c:ser>
          <c:idx val="0"/>
          <c:order val="0"/>
          <c:tx>
            <c:strRef>
              <c:f>Excel_jumia!$H$1</c:f>
              <c:strCache>
                <c:ptCount val="1"/>
                <c:pt idx="0">
                  <c:v>Ratings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Excel_jumia!$G$2:$G$114</c:f>
              <c:numCache>
                <c:formatCode>General</c:formatCode>
                <c:ptCount val="113"/>
                <c:pt idx="0">
                  <c:v>3</c:v>
                </c:pt>
                <c:pt idx="1">
                  <c:v>2</c:v>
                </c:pt>
                <c:pt idx="2">
                  <c:v>2</c:v>
                </c:pt>
                <c:pt idx="3">
                  <c:v>2</c:v>
                </c:pt>
                <c:pt idx="4">
                  <c:v>1</c:v>
                </c:pt>
                <c:pt idx="5">
                  <c:v>1</c:v>
                </c:pt>
                <c:pt idx="6">
                  <c:v>1</c:v>
                </c:pt>
                <c:pt idx="7">
                  <c:v>12</c:v>
                </c:pt>
                <c:pt idx="8">
                  <c:v>5</c:v>
                </c:pt>
                <c:pt idx="9">
                  <c:v>5</c:v>
                </c:pt>
                <c:pt idx="10">
                  <c:v>39</c:v>
                </c:pt>
                <c:pt idx="11">
                  <c:v>20</c:v>
                </c:pt>
                <c:pt idx="12">
                  <c:v>12</c:v>
                </c:pt>
                <c:pt idx="13">
                  <c:v>7</c:v>
                </c:pt>
                <c:pt idx="14">
                  <c:v>55</c:v>
                </c:pt>
                <c:pt idx="15">
                  <c:v>49</c:v>
                </c:pt>
                <c:pt idx="16">
                  <c:v>44</c:v>
                </c:pt>
                <c:pt idx="17">
                  <c:v>24</c:v>
                </c:pt>
                <c:pt idx="18">
                  <c:v>5</c:v>
                </c:pt>
                <c:pt idx="19">
                  <c:v>32</c:v>
                </c:pt>
                <c:pt idx="20">
                  <c:v>6</c:v>
                </c:pt>
                <c:pt idx="21">
                  <c:v>2</c:v>
                </c:pt>
                <c:pt idx="22" formatCode="#,##0">
                  <c:v>2</c:v>
                </c:pt>
                <c:pt idx="23">
                  <c:v>2</c:v>
                </c:pt>
                <c:pt idx="24">
                  <c:v>14</c:v>
                </c:pt>
                <c:pt idx="25">
                  <c:v>36</c:v>
                </c:pt>
                <c:pt idx="26">
                  <c:v>9</c:v>
                </c:pt>
                <c:pt idx="27">
                  <c:v>9</c:v>
                </c:pt>
                <c:pt idx="28">
                  <c:v>7</c:v>
                </c:pt>
                <c:pt idx="29">
                  <c:v>9</c:v>
                </c:pt>
                <c:pt idx="30">
                  <c:v>20</c:v>
                </c:pt>
                <c:pt idx="31">
                  <c:v>14</c:v>
                </c:pt>
                <c:pt idx="32">
                  <c:v>12</c:v>
                </c:pt>
                <c:pt idx="33">
                  <c:v>15</c:v>
                </c:pt>
                <c:pt idx="34">
                  <c:v>6</c:v>
                </c:pt>
                <c:pt idx="35">
                  <c:v>2</c:v>
                </c:pt>
                <c:pt idx="36">
                  <c:v>1</c:v>
                </c:pt>
                <c:pt idx="37">
                  <c:v>13</c:v>
                </c:pt>
                <c:pt idx="38">
                  <c:v>12</c:v>
                </c:pt>
                <c:pt idx="39">
                  <c:v>5</c:v>
                </c:pt>
                <c:pt idx="40">
                  <c:v>13</c:v>
                </c:pt>
                <c:pt idx="41">
                  <c:v>10</c:v>
                </c:pt>
                <c:pt idx="42">
                  <c:v>5</c:v>
                </c:pt>
                <c:pt idx="43">
                  <c:v>5</c:v>
                </c:pt>
                <c:pt idx="44">
                  <c:v>5</c:v>
                </c:pt>
                <c:pt idx="45">
                  <c:v>1</c:v>
                </c:pt>
                <c:pt idx="46">
                  <c:v>16</c:v>
                </c:pt>
                <c:pt idx="47">
                  <c:v>69</c:v>
                </c:pt>
                <c:pt idx="48">
                  <c:v>15</c:v>
                </c:pt>
                <c:pt idx="49">
                  <c:v>17</c:v>
                </c:pt>
                <c:pt idx="50">
                  <c:v>6</c:v>
                </c:pt>
                <c:pt idx="51">
                  <c:v>7</c:v>
                </c:pt>
                <c:pt idx="52">
                  <c:v>6</c:v>
                </c:pt>
                <c:pt idx="53">
                  <c:v>6</c:v>
                </c:pt>
                <c:pt idx="54">
                  <c:v>6</c:v>
                </c:pt>
                <c:pt idx="55">
                  <c:v>13</c:v>
                </c:pt>
                <c:pt idx="56">
                  <c:v>7</c:v>
                </c:pt>
                <c:pt idx="57">
                  <c:v>1</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numCache>
            </c:numRef>
          </c:xVal>
          <c:yVal>
            <c:numRef>
              <c:f>Excel_jumia!$H$2:$H$114</c:f>
              <c:numCache>
                <c:formatCode>General</c:formatCode>
                <c:ptCount val="113"/>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4.5</c:v>
                </c:pt>
                <c:pt idx="24">
                  <c:v>4.4000000000000004</c:v>
                </c:pt>
                <c:pt idx="25">
                  <c:v>4.3</c:v>
                </c:pt>
                <c:pt idx="26">
                  <c:v>4.3</c:v>
                </c:pt>
                <c:pt idx="27">
                  <c:v>4.3</c:v>
                </c:pt>
                <c:pt idx="28">
                  <c:v>4.3</c:v>
                </c:pt>
                <c:pt idx="29">
                  <c:v>4.2</c:v>
                </c:pt>
                <c:pt idx="30">
                  <c:v>4.0999999999999996</c:v>
                </c:pt>
                <c:pt idx="31">
                  <c:v>4.0999999999999996</c:v>
                </c:pt>
                <c:pt idx="32">
                  <c:v>4.0999999999999996</c:v>
                </c:pt>
                <c:pt idx="33">
                  <c:v>4</c:v>
                </c:pt>
                <c:pt idx="34">
                  <c:v>4</c:v>
                </c:pt>
                <c:pt idx="35">
                  <c:v>4</c:v>
                </c:pt>
                <c:pt idx="36">
                  <c:v>4</c:v>
                </c:pt>
                <c:pt idx="37">
                  <c:v>3.8</c:v>
                </c:pt>
                <c:pt idx="38">
                  <c:v>3.8</c:v>
                </c:pt>
                <c:pt idx="39">
                  <c:v>3.8</c:v>
                </c:pt>
                <c:pt idx="40">
                  <c:v>3.3</c:v>
                </c:pt>
                <c:pt idx="41">
                  <c:v>3</c:v>
                </c:pt>
                <c:pt idx="42">
                  <c:v>3</c:v>
                </c:pt>
                <c:pt idx="43">
                  <c:v>3</c:v>
                </c:pt>
                <c:pt idx="44">
                  <c:v>3</c:v>
                </c:pt>
                <c:pt idx="45">
                  <c:v>3</c:v>
                </c:pt>
                <c:pt idx="46">
                  <c:v>2.9</c:v>
                </c:pt>
                <c:pt idx="47">
                  <c:v>2.8</c:v>
                </c:pt>
                <c:pt idx="48">
                  <c:v>2.7</c:v>
                </c:pt>
                <c:pt idx="49">
                  <c:v>2.6</c:v>
                </c:pt>
                <c:pt idx="50">
                  <c:v>2.5</c:v>
                </c:pt>
                <c:pt idx="51">
                  <c:v>2.2999999999999998</c:v>
                </c:pt>
                <c:pt idx="52">
                  <c:v>2.2999999999999998</c:v>
                </c:pt>
                <c:pt idx="53">
                  <c:v>2.2000000000000002</c:v>
                </c:pt>
                <c:pt idx="54">
                  <c:v>2.2000000000000002</c:v>
                </c:pt>
                <c:pt idx="55">
                  <c:v>2.1</c:v>
                </c:pt>
                <c:pt idx="56">
                  <c:v>2.1</c:v>
                </c:pt>
                <c:pt idx="57">
                  <c:v>2</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numCache>
            </c:numRef>
          </c:yVal>
          <c:smooth val="0"/>
          <c:extLst>
            <c:ext xmlns:c16="http://schemas.microsoft.com/office/drawing/2014/chart" uri="{C3380CC4-5D6E-409C-BE32-E72D297353CC}">
              <c16:uniqueId val="{00000001-9823-4B0F-9430-8835DE38F318}"/>
            </c:ext>
          </c:extLst>
        </c:ser>
        <c:dLbls>
          <c:showLegendKey val="0"/>
          <c:showVal val="0"/>
          <c:showCatName val="0"/>
          <c:showSerName val="0"/>
          <c:showPercent val="0"/>
          <c:showBubbleSize val="0"/>
        </c:dLbls>
        <c:axId val="692704304"/>
        <c:axId val="692702336"/>
      </c:scatterChart>
      <c:valAx>
        <c:axId val="692704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a:solidFill>
                      <a:schemeClr val="accent5"/>
                    </a:solidFill>
                  </a:rPr>
                  <a:t>Number</a:t>
                </a:r>
                <a:r>
                  <a:rPr lang="en-US" baseline="0">
                    <a:solidFill>
                      <a:schemeClr val="accent5"/>
                    </a:solidFill>
                  </a:rPr>
                  <a:t> of Reviews</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02336"/>
        <c:crosses val="autoZero"/>
        <c:crossBetween val="midCat"/>
      </c:valAx>
      <c:valAx>
        <c:axId val="69270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a:solidFill>
                      <a:schemeClr val="accent5"/>
                    </a:solidFill>
                  </a:rPr>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04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[Excel_jumia.xlsx]Pivottables!PivotTable10</c:name>
    <c:fmtId val="3"/>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Product</a:t>
            </a:r>
            <a:r>
              <a:rPr lang="en-US" baseline="0">
                <a:solidFill>
                  <a:schemeClr val="accent5"/>
                </a:solidFill>
              </a:rPr>
              <a:t> Distribution by Rating Category</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Pivottables!$B$47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B0-48F4-9C1F-D1628295A2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B0-48F4-9C1F-D1628295A2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B0-48F4-9C1F-D1628295A2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Pivottables!$A$48:$A$51</c:f>
              <c:strCache>
                <c:ptCount val="3"/>
                <c:pt idx="0">
                  <c:v>Poor</c:v>
                </c:pt>
                <c:pt idx="1">
                  <c:v>Excellent</c:v>
                </c:pt>
                <c:pt idx="2">
                  <c:v>Average</c:v>
                </c:pt>
              </c:strCache>
            </c:strRef>
          </c:cat>
          <c:val>
            <c:numRef>
              <c:f>Pivottables!$B$48:$B$51</c:f>
              <c:numCache>
                <c:formatCode>General</c:formatCode>
                <c:ptCount val="3"/>
                <c:pt idx="0">
                  <c:v>67</c:v>
                </c:pt>
                <c:pt idx="1">
                  <c:v>24</c:v>
                </c:pt>
                <c:pt idx="2">
                  <c:v>22</c:v>
                </c:pt>
              </c:numCache>
            </c:numRef>
          </c:val>
          <c:extLst>
            <c:ext xmlns:c16="http://schemas.microsoft.com/office/drawing/2014/chart" uri="{C3380CC4-5D6E-409C-BE32-E72D297353CC}">
              <c16:uniqueId val="{00000006-80B0-48F4-9C1F-D1628295A2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[Excel_jumia.xlsx]Pivottables!PivotTable11</c:name>
    <c:fmtId val="3"/>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Product</a:t>
            </a:r>
            <a:r>
              <a:rPr lang="en-US" baseline="0">
                <a:solidFill>
                  <a:schemeClr val="accent5"/>
                </a:solidFill>
              </a:rPr>
              <a:t> Disctribution by Discount Category</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Pivottables!$B$62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36A-4A77-A8D4-5411726EE02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36A-4A77-A8D4-5411726EE02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36A-4A77-A8D4-5411726EE0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Pivottables!$A$63:$A$66</c:f>
              <c:strCache>
                <c:ptCount val="3"/>
                <c:pt idx="0">
                  <c:v>High Discount</c:v>
                </c:pt>
                <c:pt idx="1">
                  <c:v>Medium Discount</c:v>
                </c:pt>
                <c:pt idx="2">
                  <c:v>Low Dsicount</c:v>
                </c:pt>
              </c:strCache>
            </c:strRef>
          </c:cat>
          <c:val>
            <c:numRef>
              <c:f>Pivottables!$B$63:$B$66</c:f>
              <c:numCache>
                <c:formatCode>General</c:formatCode>
                <c:ptCount val="3"/>
                <c:pt idx="0">
                  <c:v>63</c:v>
                </c:pt>
                <c:pt idx="1">
                  <c:v>32</c:v>
                </c:pt>
                <c:pt idx="2">
                  <c:v>18</c:v>
                </c:pt>
              </c:numCache>
            </c:numRef>
          </c:val>
          <c:extLst>
            <c:ext xmlns:c16="http://schemas.microsoft.com/office/drawing/2014/chart" uri="{C3380CC4-5D6E-409C-BE32-E72D297353CC}">
              <c16:uniqueId val="{00000006-736A-4A77-A8D4-5411726EE02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Excel_jumia!$H$1</c:f>
              <c:strCache>
                <c:ptCount val="1"/>
                <c:pt idx="0">
                  <c:v>Ratings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Excel_jumia!$G$2:$G$114</c:f>
              <c:numCache>
                <c:formatCode>General</c:formatCode>
                <c:ptCount val="113"/>
                <c:pt idx="0">
                  <c:v>3</c:v>
                </c:pt>
                <c:pt idx="1">
                  <c:v>2</c:v>
                </c:pt>
                <c:pt idx="2">
                  <c:v>2</c:v>
                </c:pt>
                <c:pt idx="3">
                  <c:v>2</c:v>
                </c:pt>
                <c:pt idx="4">
                  <c:v>1</c:v>
                </c:pt>
                <c:pt idx="5">
                  <c:v>1</c:v>
                </c:pt>
                <c:pt idx="6">
                  <c:v>1</c:v>
                </c:pt>
                <c:pt idx="7">
                  <c:v>12</c:v>
                </c:pt>
                <c:pt idx="8">
                  <c:v>5</c:v>
                </c:pt>
                <c:pt idx="9">
                  <c:v>5</c:v>
                </c:pt>
                <c:pt idx="10">
                  <c:v>39</c:v>
                </c:pt>
                <c:pt idx="11">
                  <c:v>20</c:v>
                </c:pt>
                <c:pt idx="12">
                  <c:v>12</c:v>
                </c:pt>
                <c:pt idx="13">
                  <c:v>7</c:v>
                </c:pt>
                <c:pt idx="14">
                  <c:v>55</c:v>
                </c:pt>
                <c:pt idx="15">
                  <c:v>49</c:v>
                </c:pt>
                <c:pt idx="16">
                  <c:v>44</c:v>
                </c:pt>
                <c:pt idx="17">
                  <c:v>24</c:v>
                </c:pt>
                <c:pt idx="18">
                  <c:v>5</c:v>
                </c:pt>
                <c:pt idx="19">
                  <c:v>32</c:v>
                </c:pt>
                <c:pt idx="20">
                  <c:v>6</c:v>
                </c:pt>
                <c:pt idx="21">
                  <c:v>2</c:v>
                </c:pt>
                <c:pt idx="22" formatCode="#,##0">
                  <c:v>2</c:v>
                </c:pt>
                <c:pt idx="23">
                  <c:v>2</c:v>
                </c:pt>
                <c:pt idx="24">
                  <c:v>14</c:v>
                </c:pt>
                <c:pt idx="25">
                  <c:v>36</c:v>
                </c:pt>
                <c:pt idx="26">
                  <c:v>9</c:v>
                </c:pt>
                <c:pt idx="27">
                  <c:v>9</c:v>
                </c:pt>
                <c:pt idx="28">
                  <c:v>7</c:v>
                </c:pt>
                <c:pt idx="29">
                  <c:v>9</c:v>
                </c:pt>
                <c:pt idx="30">
                  <c:v>20</c:v>
                </c:pt>
                <c:pt idx="31">
                  <c:v>14</c:v>
                </c:pt>
                <c:pt idx="32">
                  <c:v>12</c:v>
                </c:pt>
                <c:pt idx="33">
                  <c:v>15</c:v>
                </c:pt>
                <c:pt idx="34">
                  <c:v>6</c:v>
                </c:pt>
                <c:pt idx="35">
                  <c:v>2</c:v>
                </c:pt>
                <c:pt idx="36">
                  <c:v>1</c:v>
                </c:pt>
                <c:pt idx="37">
                  <c:v>13</c:v>
                </c:pt>
                <c:pt idx="38">
                  <c:v>12</c:v>
                </c:pt>
                <c:pt idx="39">
                  <c:v>5</c:v>
                </c:pt>
                <c:pt idx="40">
                  <c:v>13</c:v>
                </c:pt>
                <c:pt idx="41">
                  <c:v>10</c:v>
                </c:pt>
                <c:pt idx="42">
                  <c:v>5</c:v>
                </c:pt>
                <c:pt idx="43">
                  <c:v>5</c:v>
                </c:pt>
                <c:pt idx="44">
                  <c:v>5</c:v>
                </c:pt>
                <c:pt idx="45">
                  <c:v>1</c:v>
                </c:pt>
                <c:pt idx="46">
                  <c:v>16</c:v>
                </c:pt>
                <c:pt idx="47">
                  <c:v>69</c:v>
                </c:pt>
                <c:pt idx="48">
                  <c:v>15</c:v>
                </c:pt>
                <c:pt idx="49">
                  <c:v>17</c:v>
                </c:pt>
                <c:pt idx="50">
                  <c:v>6</c:v>
                </c:pt>
                <c:pt idx="51">
                  <c:v>7</c:v>
                </c:pt>
                <c:pt idx="52">
                  <c:v>6</c:v>
                </c:pt>
                <c:pt idx="53">
                  <c:v>6</c:v>
                </c:pt>
                <c:pt idx="54">
                  <c:v>6</c:v>
                </c:pt>
                <c:pt idx="55">
                  <c:v>13</c:v>
                </c:pt>
                <c:pt idx="56">
                  <c:v>7</c:v>
                </c:pt>
                <c:pt idx="57">
                  <c:v>1</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numCache>
            </c:numRef>
          </c:xVal>
          <c:yVal>
            <c:numRef>
              <c:f>Excel_jumia!$H$2:$H$114</c:f>
              <c:numCache>
                <c:formatCode>General</c:formatCode>
                <c:ptCount val="113"/>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4.5</c:v>
                </c:pt>
                <c:pt idx="24">
                  <c:v>4.4000000000000004</c:v>
                </c:pt>
                <c:pt idx="25">
                  <c:v>4.3</c:v>
                </c:pt>
                <c:pt idx="26">
                  <c:v>4.3</c:v>
                </c:pt>
                <c:pt idx="27">
                  <c:v>4.3</c:v>
                </c:pt>
                <c:pt idx="28">
                  <c:v>4.3</c:v>
                </c:pt>
                <c:pt idx="29">
                  <c:v>4.2</c:v>
                </c:pt>
                <c:pt idx="30">
                  <c:v>4.0999999999999996</c:v>
                </c:pt>
                <c:pt idx="31">
                  <c:v>4.0999999999999996</c:v>
                </c:pt>
                <c:pt idx="32">
                  <c:v>4.0999999999999996</c:v>
                </c:pt>
                <c:pt idx="33">
                  <c:v>4</c:v>
                </c:pt>
                <c:pt idx="34">
                  <c:v>4</c:v>
                </c:pt>
                <c:pt idx="35">
                  <c:v>4</c:v>
                </c:pt>
                <c:pt idx="36">
                  <c:v>4</c:v>
                </c:pt>
                <c:pt idx="37">
                  <c:v>3.8</c:v>
                </c:pt>
                <c:pt idx="38">
                  <c:v>3.8</c:v>
                </c:pt>
                <c:pt idx="39">
                  <c:v>3.8</c:v>
                </c:pt>
                <c:pt idx="40">
                  <c:v>3.3</c:v>
                </c:pt>
                <c:pt idx="41">
                  <c:v>3</c:v>
                </c:pt>
                <c:pt idx="42">
                  <c:v>3</c:v>
                </c:pt>
                <c:pt idx="43">
                  <c:v>3</c:v>
                </c:pt>
                <c:pt idx="44">
                  <c:v>3</c:v>
                </c:pt>
                <c:pt idx="45">
                  <c:v>3</c:v>
                </c:pt>
                <c:pt idx="46">
                  <c:v>2.9</c:v>
                </c:pt>
                <c:pt idx="47">
                  <c:v>2.8</c:v>
                </c:pt>
                <c:pt idx="48">
                  <c:v>2.7</c:v>
                </c:pt>
                <c:pt idx="49">
                  <c:v>2.6</c:v>
                </c:pt>
                <c:pt idx="50">
                  <c:v>2.5</c:v>
                </c:pt>
                <c:pt idx="51">
                  <c:v>2.2999999999999998</c:v>
                </c:pt>
                <c:pt idx="52">
                  <c:v>2.2999999999999998</c:v>
                </c:pt>
                <c:pt idx="53">
                  <c:v>2.2000000000000002</c:v>
                </c:pt>
                <c:pt idx="54">
                  <c:v>2.2000000000000002</c:v>
                </c:pt>
                <c:pt idx="55">
                  <c:v>2.1</c:v>
                </c:pt>
                <c:pt idx="56">
                  <c:v>2.1</c:v>
                </c:pt>
                <c:pt idx="57">
                  <c:v>2</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numCache>
            </c:numRef>
          </c:yVal>
          <c:smooth val="0"/>
          <c:extLst>
            <c:ext xmlns:c16="http://schemas.microsoft.com/office/drawing/2014/chart" uri="{C3380CC4-5D6E-409C-BE32-E72D297353CC}">
              <c16:uniqueId val="{00000001-D574-453C-AB3B-8DD1D0BC423E}"/>
            </c:ext>
          </c:extLst>
        </c:ser>
        <c:dLbls>
          <c:showLegendKey val="0"/>
          <c:showVal val="0"/>
          <c:showCatName val="0"/>
          <c:showSerName val="0"/>
          <c:showPercent val="0"/>
          <c:showBubbleSize val="0"/>
        </c:dLbls>
        <c:axId val="459921744"/>
        <c:axId val="459925024"/>
      </c:scatterChart>
      <c:valAx>
        <c:axId val="459921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25024"/>
        <c:crosses val="autoZero"/>
        <c:crossBetween val="midCat"/>
      </c:valAx>
      <c:valAx>
        <c:axId val="45992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21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[Excel_jumia.xlsx]Pivottables!PivotTable7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with Best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Pivottables!$B$4:$B$14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2269-4414-93F8-E088FF67F094}"/>
            </c:ext>
          </c:extLst>
        </c:ser>
        <c:dLbls>
          <c:showLegendKey val="0"/>
          <c:showVal val="0"/>
          <c:showCatName val="0"/>
          <c:showSerName val="0"/>
          <c:showPercent val="0"/>
          <c:showBubbleSize val="0"/>
        </c:dLbls>
        <c:gapWidth val="219"/>
        <c:overlap val="-27"/>
        <c:axId val="536299784"/>
        <c:axId val="536301096"/>
      </c:barChart>
      <c:catAx>
        <c:axId val="536299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01096"/>
        <c:crosses val="autoZero"/>
        <c:auto val="1"/>
        <c:lblAlgn val="ctr"/>
        <c:lblOffset val="100"/>
        <c:noMultiLvlLbl val="0"/>
      </c:catAx>
      <c:valAx>
        <c:axId val="536301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99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[Excel_jumia.xlsx]Pivottables!PivotTable8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Number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Pivottables!$B$18</c:f>
              <c:strCache>
                <c:ptCount val="1"/>
                <c:pt idx="0">
                  <c:v>Total</c:v>
                </c:pt>
              </c:strCache>
            </c:strRef>
          </c:tx>
          <c:spPr>
            <a:solidFill>
              <a:schemeClr val="accent1"/>
            </a:solidFill>
            <a:ln>
              <a:noFill/>
            </a:ln>
            <a:effectLst/>
            <a:sp3d/>
          </c:spPr>
          <c:invertIfNegative val="0"/>
          <c:cat>
            <c:strRef>
              <c:f>Pivottables!$A$19:$A$29</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Pivottables!$B$19:$B$29</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AEBF-440E-BC20-746710DBD100}"/>
            </c:ext>
          </c:extLst>
        </c:ser>
        <c:dLbls>
          <c:showLegendKey val="0"/>
          <c:showVal val="0"/>
          <c:showCatName val="0"/>
          <c:showSerName val="0"/>
          <c:showPercent val="0"/>
          <c:showBubbleSize val="0"/>
        </c:dLbls>
        <c:gapWidth val="150"/>
        <c:shape val="box"/>
        <c:axId val="652378288"/>
        <c:axId val="652386488"/>
        <c:axId val="0"/>
      </c:bar3DChart>
      <c:catAx>
        <c:axId val="65237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86488"/>
        <c:crosses val="autoZero"/>
        <c:auto val="1"/>
        <c:lblAlgn val="ctr"/>
        <c:lblOffset val="100"/>
        <c:noMultiLvlLbl val="0"/>
      </c:catAx>
      <c:valAx>
        <c:axId val="652386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7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[Excel_jumia.xlsx]Pivottables!PivotTable9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Discount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Pivottables!$B$31</c:f>
              <c:strCache>
                <c:ptCount val="1"/>
                <c:pt idx="0">
                  <c:v>Total</c:v>
                </c:pt>
              </c:strCache>
            </c:strRef>
          </c:tx>
          <c:spPr>
            <a:solidFill>
              <a:schemeClr val="accent1"/>
            </a:solidFill>
            <a:ln>
              <a:noFill/>
            </a:ln>
            <a:effectLst/>
            <a:sp3d/>
          </c:spPr>
          <c:invertIfNegative val="0"/>
          <c:cat>
            <c:strRef>
              <c:f>Pivottables!$A$32:$A$42</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Pivottables!$B$32:$B$42</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E9D8-4B55-9FDB-ED8E1820B20A}"/>
            </c:ext>
          </c:extLst>
        </c:ser>
        <c:dLbls>
          <c:showLegendKey val="0"/>
          <c:showVal val="0"/>
          <c:showCatName val="0"/>
          <c:showSerName val="0"/>
          <c:showPercent val="0"/>
          <c:showBubbleSize val="0"/>
        </c:dLbls>
        <c:gapWidth val="150"/>
        <c:shape val="box"/>
        <c:axId val="613972664"/>
        <c:axId val="613975944"/>
        <c:axId val="0"/>
      </c:bar3DChart>
      <c:catAx>
        <c:axId val="613972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975944"/>
        <c:crosses val="autoZero"/>
        <c:auto val="1"/>
        <c:lblAlgn val="ctr"/>
        <c:lblOffset val="100"/>
        <c:noMultiLvlLbl val="0"/>
      </c:catAx>
      <c:valAx>
        <c:axId val="613975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972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[Excel_jumia.xlsx]Pivottables!PivotTable11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Distribution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Pivottables!$B$62</c:f>
              <c:strCache>
                <c:ptCount val="1"/>
                <c:pt idx="0">
                  <c:v>Total</c:v>
                </c:pt>
              </c:strCache>
            </c:strRef>
          </c:tx>
          <c:spPr>
            <a:solidFill>
              <a:schemeClr val="accent1"/>
            </a:solidFill>
            <a:ln>
              <a:noFill/>
            </a:ln>
            <a:effectLst/>
            <a:sp3d/>
          </c:spPr>
          <c:invertIfNegative val="0"/>
          <c:cat>
            <c:strRef>
              <c:f>Pivottables!$A$63:$A$66</c:f>
              <c:strCache>
                <c:ptCount val="3"/>
                <c:pt idx="0">
                  <c:v>High Discount</c:v>
                </c:pt>
                <c:pt idx="1">
                  <c:v>Medium Discount</c:v>
                </c:pt>
                <c:pt idx="2">
                  <c:v>Low Dsicount</c:v>
                </c:pt>
              </c:strCache>
            </c:strRef>
          </c:cat>
          <c:val>
            <c:numRef>
              <c:f>Pivottables!$B$63:$B$66</c:f>
              <c:numCache>
                <c:formatCode>General</c:formatCode>
                <c:ptCount val="3"/>
                <c:pt idx="0">
                  <c:v>63</c:v>
                </c:pt>
                <c:pt idx="1">
                  <c:v>32</c:v>
                </c:pt>
                <c:pt idx="2">
                  <c:v>18</c:v>
                </c:pt>
              </c:numCache>
            </c:numRef>
          </c:val>
          <c:extLst>
            <c:ext xmlns:c16="http://schemas.microsoft.com/office/drawing/2014/chart" uri="{C3380CC4-5D6E-409C-BE32-E72D297353CC}">
              <c16:uniqueId val="{00000000-4C5F-4850-919C-DAE1C7146835}"/>
            </c:ext>
          </c:extLst>
        </c:ser>
        <c:dLbls>
          <c:showLegendKey val="0"/>
          <c:showVal val="0"/>
          <c:showCatName val="0"/>
          <c:showSerName val="0"/>
          <c:showPercent val="0"/>
          <c:showBubbleSize val="0"/>
        </c:dLbls>
        <c:gapWidth val="150"/>
        <c:shape val="box"/>
        <c:axId val="531962832"/>
        <c:axId val="531963160"/>
        <c:axId val="0"/>
      </c:bar3DChart>
      <c:catAx>
        <c:axId val="53196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963160"/>
        <c:crosses val="autoZero"/>
        <c:auto val="1"/>
        <c:lblAlgn val="ctr"/>
        <c:lblOffset val="100"/>
        <c:noMultiLvlLbl val="0"/>
      </c:catAx>
      <c:valAx>
        <c:axId val="531963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96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Discount</a:t>
            </a:r>
            <a:r>
              <a:rPr lang="en-US" baseline="0">
                <a:solidFill>
                  <a:schemeClr val="accent5"/>
                </a:solidFill>
              </a:rPr>
              <a:t> % vs Reviews</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lotArea>
      <c:layout/>
      <c:scatterChart>
        <c:scatterStyle val="lineMarker"/>
        <c:varyColors val="0"/>
        <c:ser>
          <c:idx val="0"/>
          <c:order val="0"/>
          <c:tx>
            <c:strRef>
              <c:f>Excel_jumia!$G$1</c:f>
              <c:strCache>
                <c:ptCount val="1"/>
                <c:pt idx="0">
                  <c:v>Reviews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Excel_jumia!$F$2:$F$114</c:f>
              <c:numCache>
                <c:formatCode>0%</c:formatCode>
                <c:ptCount val="113"/>
                <c:pt idx="0">
                  <c:v>0.49</c:v>
                </c:pt>
                <c:pt idx="1">
                  <c:v>0.53</c:v>
                </c:pt>
                <c:pt idx="2">
                  <c:v>0.51</c:v>
                </c:pt>
                <c:pt idx="3">
                  <c:v>0.46</c:v>
                </c:pt>
                <c:pt idx="4">
                  <c:v>0.49</c:v>
                </c:pt>
                <c:pt idx="5">
                  <c:v>0.4</c:v>
                </c:pt>
                <c:pt idx="6">
                  <c:v>0.21</c:v>
                </c:pt>
                <c:pt idx="7">
                  <c:v>0.47</c:v>
                </c:pt>
                <c:pt idx="8">
                  <c:v>0.55000000000000004</c:v>
                </c:pt>
                <c:pt idx="9">
                  <c:v>0.26</c:v>
                </c:pt>
                <c:pt idx="10">
                  <c:v>0.34</c:v>
                </c:pt>
                <c:pt idx="11">
                  <c:v>0.27</c:v>
                </c:pt>
                <c:pt idx="12">
                  <c:v>0.34</c:v>
                </c:pt>
                <c:pt idx="13">
                  <c:v>0.37</c:v>
                </c:pt>
                <c:pt idx="14">
                  <c:v>0.24</c:v>
                </c:pt>
                <c:pt idx="15">
                  <c:v>0.35</c:v>
                </c:pt>
                <c:pt idx="16">
                  <c:v>0.49</c:v>
                </c:pt>
                <c:pt idx="17">
                  <c:v>0.25</c:v>
                </c:pt>
                <c:pt idx="18">
                  <c:v>0.19</c:v>
                </c:pt>
                <c:pt idx="19">
                  <c:v>0.27</c:v>
                </c:pt>
                <c:pt idx="20">
                  <c:v>0.42</c:v>
                </c:pt>
                <c:pt idx="21">
                  <c:v>0.38</c:v>
                </c:pt>
                <c:pt idx="22">
                  <c:v>0.38</c:v>
                </c:pt>
                <c:pt idx="23">
                  <c:v>0.38</c:v>
                </c:pt>
                <c:pt idx="24">
                  <c:v>0.23</c:v>
                </c:pt>
                <c:pt idx="25">
                  <c:v>0.41</c:v>
                </c:pt>
                <c:pt idx="26">
                  <c:v>0.52</c:v>
                </c:pt>
                <c:pt idx="27">
                  <c:v>0.48</c:v>
                </c:pt>
                <c:pt idx="28">
                  <c:v>0.54</c:v>
                </c:pt>
                <c:pt idx="29">
                  <c:v>0.33</c:v>
                </c:pt>
                <c:pt idx="30">
                  <c:v>0.3</c:v>
                </c:pt>
                <c:pt idx="31">
                  <c:v>0.47</c:v>
                </c:pt>
                <c:pt idx="32">
                  <c:v>0.2</c:v>
                </c:pt>
                <c:pt idx="33">
                  <c:v>0.09</c:v>
                </c:pt>
                <c:pt idx="34">
                  <c:v>0.35</c:v>
                </c:pt>
                <c:pt idx="35">
                  <c:v>0.37</c:v>
                </c:pt>
                <c:pt idx="36">
                  <c:v>0.49</c:v>
                </c:pt>
                <c:pt idx="37">
                  <c:v>0.32</c:v>
                </c:pt>
                <c:pt idx="38">
                  <c:v>0.18</c:v>
                </c:pt>
                <c:pt idx="39">
                  <c:v>0.45</c:v>
                </c:pt>
                <c:pt idx="40">
                  <c:v>0.53</c:v>
                </c:pt>
                <c:pt idx="41">
                  <c:v>0.54</c:v>
                </c:pt>
                <c:pt idx="42">
                  <c:v>0.43</c:v>
                </c:pt>
                <c:pt idx="43">
                  <c:v>0.39</c:v>
                </c:pt>
                <c:pt idx="44">
                  <c:v>0.28999999999999998</c:v>
                </c:pt>
                <c:pt idx="45">
                  <c:v>0.46</c:v>
                </c:pt>
                <c:pt idx="46">
                  <c:v>0.22</c:v>
                </c:pt>
                <c:pt idx="47">
                  <c:v>0.49</c:v>
                </c:pt>
                <c:pt idx="48">
                  <c:v>0.52</c:v>
                </c:pt>
                <c:pt idx="49">
                  <c:v>0.45</c:v>
                </c:pt>
                <c:pt idx="50">
                  <c:v>0.13</c:v>
                </c:pt>
                <c:pt idx="51">
                  <c:v>0.5</c:v>
                </c:pt>
                <c:pt idx="52">
                  <c:v>0.43</c:v>
                </c:pt>
                <c:pt idx="53">
                  <c:v>0.47</c:v>
                </c:pt>
                <c:pt idx="54">
                  <c:v>0.45</c:v>
                </c:pt>
                <c:pt idx="55">
                  <c:v>0.55000000000000004</c:v>
                </c:pt>
                <c:pt idx="56">
                  <c:v>0.47</c:v>
                </c:pt>
                <c:pt idx="57">
                  <c:v>0.5</c:v>
                </c:pt>
                <c:pt idx="58">
                  <c:v>0.64</c:v>
                </c:pt>
                <c:pt idx="59">
                  <c:v>0.61</c:v>
                </c:pt>
                <c:pt idx="60">
                  <c:v>0.55000000000000004</c:v>
                </c:pt>
                <c:pt idx="61">
                  <c:v>0.5</c:v>
                </c:pt>
                <c:pt idx="62">
                  <c:v>0.5</c:v>
                </c:pt>
                <c:pt idx="63">
                  <c:v>0.5</c:v>
                </c:pt>
                <c:pt idx="64">
                  <c:v>0.5</c:v>
                </c:pt>
                <c:pt idx="65">
                  <c:v>0.5</c:v>
                </c:pt>
                <c:pt idx="66">
                  <c:v>0.49</c:v>
                </c:pt>
                <c:pt idx="67">
                  <c:v>0.49</c:v>
                </c:pt>
                <c:pt idx="68">
                  <c:v>0.49</c:v>
                </c:pt>
                <c:pt idx="69">
                  <c:v>0.49</c:v>
                </c:pt>
                <c:pt idx="70">
                  <c:v>0.49</c:v>
                </c:pt>
                <c:pt idx="71">
                  <c:v>0.49</c:v>
                </c:pt>
                <c:pt idx="72">
                  <c:v>0.49</c:v>
                </c:pt>
                <c:pt idx="73">
                  <c:v>0.49</c:v>
                </c:pt>
                <c:pt idx="74">
                  <c:v>0.49</c:v>
                </c:pt>
                <c:pt idx="75">
                  <c:v>0.48</c:v>
                </c:pt>
                <c:pt idx="76">
                  <c:v>0.48</c:v>
                </c:pt>
                <c:pt idx="77">
                  <c:v>0.48</c:v>
                </c:pt>
                <c:pt idx="78">
                  <c:v>0.47</c:v>
                </c:pt>
                <c:pt idx="79">
                  <c:v>0.47</c:v>
                </c:pt>
                <c:pt idx="80">
                  <c:v>0.47</c:v>
                </c:pt>
                <c:pt idx="81">
                  <c:v>0.46</c:v>
                </c:pt>
                <c:pt idx="82">
                  <c:v>0.45</c:v>
                </c:pt>
                <c:pt idx="83">
                  <c:v>0.43</c:v>
                </c:pt>
                <c:pt idx="84">
                  <c:v>0.43</c:v>
                </c:pt>
                <c:pt idx="85">
                  <c:v>0.42</c:v>
                </c:pt>
                <c:pt idx="86">
                  <c:v>0.42</c:v>
                </c:pt>
                <c:pt idx="87">
                  <c:v>0.42</c:v>
                </c:pt>
                <c:pt idx="88">
                  <c:v>0.41</c:v>
                </c:pt>
                <c:pt idx="89">
                  <c:v>0.41</c:v>
                </c:pt>
                <c:pt idx="90">
                  <c:v>0.38</c:v>
                </c:pt>
                <c:pt idx="91">
                  <c:v>0.38</c:v>
                </c:pt>
                <c:pt idx="92">
                  <c:v>0.36</c:v>
                </c:pt>
                <c:pt idx="93">
                  <c:v>0.34</c:v>
                </c:pt>
                <c:pt idx="94">
                  <c:v>0.34</c:v>
                </c:pt>
                <c:pt idx="95">
                  <c:v>0.33</c:v>
                </c:pt>
                <c:pt idx="96">
                  <c:v>0.27</c:v>
                </c:pt>
                <c:pt idx="97">
                  <c:v>0.24</c:v>
                </c:pt>
                <c:pt idx="98">
                  <c:v>0.22</c:v>
                </c:pt>
                <c:pt idx="99">
                  <c:v>0.14000000000000001</c:v>
                </c:pt>
                <c:pt idx="100">
                  <c:v>0.14000000000000001</c:v>
                </c:pt>
                <c:pt idx="101">
                  <c:v>0.11</c:v>
                </c:pt>
                <c:pt idx="102">
                  <c:v>0.08</c:v>
                </c:pt>
                <c:pt idx="103">
                  <c:v>0.04</c:v>
                </c:pt>
                <c:pt idx="104">
                  <c:v>0.04</c:v>
                </c:pt>
                <c:pt idx="105">
                  <c:v>0.03</c:v>
                </c:pt>
                <c:pt idx="106">
                  <c:v>0.02</c:v>
                </c:pt>
                <c:pt idx="107">
                  <c:v>0.02</c:v>
                </c:pt>
                <c:pt idx="108">
                  <c:v>0.02</c:v>
                </c:pt>
                <c:pt idx="109">
                  <c:v>0.02</c:v>
                </c:pt>
                <c:pt idx="110">
                  <c:v>0.02</c:v>
                </c:pt>
                <c:pt idx="111">
                  <c:v>0.02</c:v>
                </c:pt>
                <c:pt idx="112">
                  <c:v>0.01</c:v>
                </c:pt>
              </c:numCache>
            </c:numRef>
          </c:xVal>
          <c:yVal>
            <c:numRef>
              <c:f>Excel_jumia!$G$2:$G$114</c:f>
              <c:numCache>
                <c:formatCode>General</c:formatCode>
                <c:ptCount val="113"/>
                <c:pt idx="0">
                  <c:v>3</c:v>
                </c:pt>
                <c:pt idx="1">
                  <c:v>2</c:v>
                </c:pt>
                <c:pt idx="2">
                  <c:v>2</c:v>
                </c:pt>
                <c:pt idx="3">
                  <c:v>2</c:v>
                </c:pt>
                <c:pt idx="4">
                  <c:v>1</c:v>
                </c:pt>
                <c:pt idx="5">
                  <c:v>1</c:v>
                </c:pt>
                <c:pt idx="6">
                  <c:v>1</c:v>
                </c:pt>
                <c:pt idx="7">
                  <c:v>12</c:v>
                </c:pt>
                <c:pt idx="8">
                  <c:v>5</c:v>
                </c:pt>
                <c:pt idx="9">
                  <c:v>5</c:v>
                </c:pt>
                <c:pt idx="10">
                  <c:v>39</c:v>
                </c:pt>
                <c:pt idx="11">
                  <c:v>20</c:v>
                </c:pt>
                <c:pt idx="12">
                  <c:v>12</c:v>
                </c:pt>
                <c:pt idx="13">
                  <c:v>7</c:v>
                </c:pt>
                <c:pt idx="14">
                  <c:v>55</c:v>
                </c:pt>
                <c:pt idx="15">
                  <c:v>49</c:v>
                </c:pt>
                <c:pt idx="16">
                  <c:v>44</c:v>
                </c:pt>
                <c:pt idx="17">
                  <c:v>24</c:v>
                </c:pt>
                <c:pt idx="18">
                  <c:v>5</c:v>
                </c:pt>
                <c:pt idx="19">
                  <c:v>32</c:v>
                </c:pt>
                <c:pt idx="20">
                  <c:v>6</c:v>
                </c:pt>
                <c:pt idx="21">
                  <c:v>2</c:v>
                </c:pt>
                <c:pt idx="22" formatCode="#,##0">
                  <c:v>2</c:v>
                </c:pt>
                <c:pt idx="23">
                  <c:v>2</c:v>
                </c:pt>
                <c:pt idx="24">
                  <c:v>14</c:v>
                </c:pt>
                <c:pt idx="25">
                  <c:v>36</c:v>
                </c:pt>
                <c:pt idx="26">
                  <c:v>9</c:v>
                </c:pt>
                <c:pt idx="27">
                  <c:v>9</c:v>
                </c:pt>
                <c:pt idx="28">
                  <c:v>7</c:v>
                </c:pt>
                <c:pt idx="29">
                  <c:v>9</c:v>
                </c:pt>
                <c:pt idx="30">
                  <c:v>20</c:v>
                </c:pt>
                <c:pt idx="31">
                  <c:v>14</c:v>
                </c:pt>
                <c:pt idx="32">
                  <c:v>12</c:v>
                </c:pt>
                <c:pt idx="33">
                  <c:v>15</c:v>
                </c:pt>
                <c:pt idx="34">
                  <c:v>6</c:v>
                </c:pt>
                <c:pt idx="35">
                  <c:v>2</c:v>
                </c:pt>
                <c:pt idx="36">
                  <c:v>1</c:v>
                </c:pt>
                <c:pt idx="37">
                  <c:v>13</c:v>
                </c:pt>
                <c:pt idx="38">
                  <c:v>12</c:v>
                </c:pt>
                <c:pt idx="39">
                  <c:v>5</c:v>
                </c:pt>
                <c:pt idx="40">
                  <c:v>13</c:v>
                </c:pt>
                <c:pt idx="41">
                  <c:v>10</c:v>
                </c:pt>
                <c:pt idx="42">
                  <c:v>5</c:v>
                </c:pt>
                <c:pt idx="43">
                  <c:v>5</c:v>
                </c:pt>
                <c:pt idx="44">
                  <c:v>5</c:v>
                </c:pt>
                <c:pt idx="45">
                  <c:v>1</c:v>
                </c:pt>
                <c:pt idx="46">
                  <c:v>16</c:v>
                </c:pt>
                <c:pt idx="47">
                  <c:v>69</c:v>
                </c:pt>
                <c:pt idx="48">
                  <c:v>15</c:v>
                </c:pt>
                <c:pt idx="49">
                  <c:v>17</c:v>
                </c:pt>
                <c:pt idx="50">
                  <c:v>6</c:v>
                </c:pt>
                <c:pt idx="51">
                  <c:v>7</c:v>
                </c:pt>
                <c:pt idx="52">
                  <c:v>6</c:v>
                </c:pt>
                <c:pt idx="53">
                  <c:v>6</c:v>
                </c:pt>
                <c:pt idx="54">
                  <c:v>6</c:v>
                </c:pt>
                <c:pt idx="55">
                  <c:v>13</c:v>
                </c:pt>
                <c:pt idx="56">
                  <c:v>7</c:v>
                </c:pt>
                <c:pt idx="57">
                  <c:v>1</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numCache>
            </c:numRef>
          </c:yVal>
          <c:smooth val="0"/>
          <c:extLst>
            <c:ext xmlns:c16="http://schemas.microsoft.com/office/drawing/2014/chart" uri="{C3380CC4-5D6E-409C-BE32-E72D297353CC}">
              <c16:uniqueId val="{00000001-918A-4CCC-9938-0C73742D854E}"/>
            </c:ext>
          </c:extLst>
        </c:ser>
        <c:dLbls>
          <c:showLegendKey val="0"/>
          <c:showVal val="0"/>
          <c:showCatName val="0"/>
          <c:showSerName val="0"/>
          <c:showPercent val="0"/>
          <c:showBubbleSize val="0"/>
        </c:dLbls>
        <c:axId val="672525848"/>
        <c:axId val="672519288"/>
      </c:scatterChart>
      <c:valAx>
        <c:axId val="672525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baseline="0">
                    <a:solidFill>
                      <a:schemeClr val="accent5"/>
                    </a:solidFill>
                  </a:rPr>
                  <a:t>Percentage 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19288"/>
        <c:crosses val="autoZero"/>
        <c:crossBetween val="midCat"/>
      </c:valAx>
      <c:valAx>
        <c:axId val="672519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a:solidFill>
                      <a:schemeClr val="accent5"/>
                    </a:solidFill>
                  </a:rPr>
                  <a:t>No</a:t>
                </a:r>
                <a:r>
                  <a:rPr lang="en-US" baseline="0">
                    <a:solidFill>
                      <a:schemeClr val="accent5"/>
                    </a:solidFill>
                  </a:rPr>
                  <a:t>. of R</a:t>
                </a:r>
                <a:r>
                  <a:rPr lang="en-US">
                    <a:solidFill>
                      <a:schemeClr val="accent5"/>
                    </a:solidFill>
                  </a:rPr>
                  <a:t>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258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Ratings Vs</a:t>
            </a:r>
            <a:r>
              <a:rPr lang="en-US" baseline="0">
                <a:solidFill>
                  <a:schemeClr val="accent5"/>
                </a:solidFill>
              </a:rPr>
              <a:t> Reviews</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lotArea>
      <c:layout/>
      <c:scatterChart>
        <c:scatterStyle val="lineMarker"/>
        <c:varyColors val="0"/>
        <c:ser>
          <c:idx val="0"/>
          <c:order val="0"/>
          <c:tx>
            <c:strRef>
              <c:f>Excel_jumia!$H$1</c:f>
              <c:strCache>
                <c:ptCount val="1"/>
                <c:pt idx="0">
                  <c:v>Ratings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Excel_jumia!$G$2:$G$114</c:f>
              <c:numCache>
                <c:formatCode>General</c:formatCode>
                <c:ptCount val="113"/>
                <c:pt idx="0">
                  <c:v>3</c:v>
                </c:pt>
                <c:pt idx="1">
                  <c:v>2</c:v>
                </c:pt>
                <c:pt idx="2">
                  <c:v>2</c:v>
                </c:pt>
                <c:pt idx="3">
                  <c:v>2</c:v>
                </c:pt>
                <c:pt idx="4">
                  <c:v>1</c:v>
                </c:pt>
                <c:pt idx="5">
                  <c:v>1</c:v>
                </c:pt>
                <c:pt idx="6">
                  <c:v>1</c:v>
                </c:pt>
                <c:pt idx="7">
                  <c:v>12</c:v>
                </c:pt>
                <c:pt idx="8">
                  <c:v>5</c:v>
                </c:pt>
                <c:pt idx="9">
                  <c:v>5</c:v>
                </c:pt>
                <c:pt idx="10">
                  <c:v>39</c:v>
                </c:pt>
                <c:pt idx="11">
                  <c:v>20</c:v>
                </c:pt>
                <c:pt idx="12">
                  <c:v>12</c:v>
                </c:pt>
                <c:pt idx="13">
                  <c:v>7</c:v>
                </c:pt>
                <c:pt idx="14">
                  <c:v>55</c:v>
                </c:pt>
                <c:pt idx="15">
                  <c:v>49</c:v>
                </c:pt>
                <c:pt idx="16">
                  <c:v>44</c:v>
                </c:pt>
                <c:pt idx="17">
                  <c:v>24</c:v>
                </c:pt>
                <c:pt idx="18">
                  <c:v>5</c:v>
                </c:pt>
                <c:pt idx="19">
                  <c:v>32</c:v>
                </c:pt>
                <c:pt idx="20">
                  <c:v>6</c:v>
                </c:pt>
                <c:pt idx="21">
                  <c:v>2</c:v>
                </c:pt>
                <c:pt idx="22" formatCode="#,##0">
                  <c:v>2</c:v>
                </c:pt>
                <c:pt idx="23">
                  <c:v>2</c:v>
                </c:pt>
                <c:pt idx="24">
                  <c:v>14</c:v>
                </c:pt>
                <c:pt idx="25">
                  <c:v>36</c:v>
                </c:pt>
                <c:pt idx="26">
                  <c:v>9</c:v>
                </c:pt>
                <c:pt idx="27">
                  <c:v>9</c:v>
                </c:pt>
                <c:pt idx="28">
                  <c:v>7</c:v>
                </c:pt>
                <c:pt idx="29">
                  <c:v>9</c:v>
                </c:pt>
                <c:pt idx="30">
                  <c:v>20</c:v>
                </c:pt>
                <c:pt idx="31">
                  <c:v>14</c:v>
                </c:pt>
                <c:pt idx="32">
                  <c:v>12</c:v>
                </c:pt>
                <c:pt idx="33">
                  <c:v>15</c:v>
                </c:pt>
                <c:pt idx="34">
                  <c:v>6</c:v>
                </c:pt>
                <c:pt idx="35">
                  <c:v>2</c:v>
                </c:pt>
                <c:pt idx="36">
                  <c:v>1</c:v>
                </c:pt>
                <c:pt idx="37">
                  <c:v>13</c:v>
                </c:pt>
                <c:pt idx="38">
                  <c:v>12</c:v>
                </c:pt>
                <c:pt idx="39">
                  <c:v>5</c:v>
                </c:pt>
                <c:pt idx="40">
                  <c:v>13</c:v>
                </c:pt>
                <c:pt idx="41">
                  <c:v>10</c:v>
                </c:pt>
                <c:pt idx="42">
                  <c:v>5</c:v>
                </c:pt>
                <c:pt idx="43">
                  <c:v>5</c:v>
                </c:pt>
                <c:pt idx="44">
                  <c:v>5</c:v>
                </c:pt>
                <c:pt idx="45">
                  <c:v>1</c:v>
                </c:pt>
                <c:pt idx="46">
                  <c:v>16</c:v>
                </c:pt>
                <c:pt idx="47">
                  <c:v>69</c:v>
                </c:pt>
                <c:pt idx="48">
                  <c:v>15</c:v>
                </c:pt>
                <c:pt idx="49">
                  <c:v>17</c:v>
                </c:pt>
                <c:pt idx="50">
                  <c:v>6</c:v>
                </c:pt>
                <c:pt idx="51">
                  <c:v>7</c:v>
                </c:pt>
                <c:pt idx="52">
                  <c:v>6</c:v>
                </c:pt>
                <c:pt idx="53">
                  <c:v>6</c:v>
                </c:pt>
                <c:pt idx="54">
                  <c:v>6</c:v>
                </c:pt>
                <c:pt idx="55">
                  <c:v>13</c:v>
                </c:pt>
                <c:pt idx="56">
                  <c:v>7</c:v>
                </c:pt>
                <c:pt idx="57">
                  <c:v>1</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numCache>
            </c:numRef>
          </c:xVal>
          <c:yVal>
            <c:numRef>
              <c:f>Excel_jumia!$H$2:$H$114</c:f>
              <c:numCache>
                <c:formatCode>General</c:formatCode>
                <c:ptCount val="113"/>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4.5</c:v>
                </c:pt>
                <c:pt idx="24">
                  <c:v>4.4000000000000004</c:v>
                </c:pt>
                <c:pt idx="25">
                  <c:v>4.3</c:v>
                </c:pt>
                <c:pt idx="26">
                  <c:v>4.3</c:v>
                </c:pt>
                <c:pt idx="27">
                  <c:v>4.3</c:v>
                </c:pt>
                <c:pt idx="28">
                  <c:v>4.3</c:v>
                </c:pt>
                <c:pt idx="29">
                  <c:v>4.2</c:v>
                </c:pt>
                <c:pt idx="30">
                  <c:v>4.0999999999999996</c:v>
                </c:pt>
                <c:pt idx="31">
                  <c:v>4.0999999999999996</c:v>
                </c:pt>
                <c:pt idx="32">
                  <c:v>4.0999999999999996</c:v>
                </c:pt>
                <c:pt idx="33">
                  <c:v>4</c:v>
                </c:pt>
                <c:pt idx="34">
                  <c:v>4</c:v>
                </c:pt>
                <c:pt idx="35">
                  <c:v>4</c:v>
                </c:pt>
                <c:pt idx="36">
                  <c:v>4</c:v>
                </c:pt>
                <c:pt idx="37">
                  <c:v>3.8</c:v>
                </c:pt>
                <c:pt idx="38">
                  <c:v>3.8</c:v>
                </c:pt>
                <c:pt idx="39">
                  <c:v>3.8</c:v>
                </c:pt>
                <c:pt idx="40">
                  <c:v>3.3</c:v>
                </c:pt>
                <c:pt idx="41">
                  <c:v>3</c:v>
                </c:pt>
                <c:pt idx="42">
                  <c:v>3</c:v>
                </c:pt>
                <c:pt idx="43">
                  <c:v>3</c:v>
                </c:pt>
                <c:pt idx="44">
                  <c:v>3</c:v>
                </c:pt>
                <c:pt idx="45">
                  <c:v>3</c:v>
                </c:pt>
                <c:pt idx="46">
                  <c:v>2.9</c:v>
                </c:pt>
                <c:pt idx="47">
                  <c:v>2.8</c:v>
                </c:pt>
                <c:pt idx="48">
                  <c:v>2.7</c:v>
                </c:pt>
                <c:pt idx="49">
                  <c:v>2.6</c:v>
                </c:pt>
                <c:pt idx="50">
                  <c:v>2.5</c:v>
                </c:pt>
                <c:pt idx="51">
                  <c:v>2.2999999999999998</c:v>
                </c:pt>
                <c:pt idx="52">
                  <c:v>2.2999999999999998</c:v>
                </c:pt>
                <c:pt idx="53">
                  <c:v>2.2000000000000002</c:v>
                </c:pt>
                <c:pt idx="54">
                  <c:v>2.2000000000000002</c:v>
                </c:pt>
                <c:pt idx="55">
                  <c:v>2.1</c:v>
                </c:pt>
                <c:pt idx="56">
                  <c:v>2.1</c:v>
                </c:pt>
                <c:pt idx="57">
                  <c:v>2</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numCache>
            </c:numRef>
          </c:yVal>
          <c:smooth val="0"/>
          <c:extLst>
            <c:ext xmlns:c16="http://schemas.microsoft.com/office/drawing/2014/chart" uri="{C3380CC4-5D6E-409C-BE32-E72D297353CC}">
              <c16:uniqueId val="{00000001-4200-4056-B67B-191A10AE48D2}"/>
            </c:ext>
          </c:extLst>
        </c:ser>
        <c:dLbls>
          <c:showLegendKey val="0"/>
          <c:showVal val="0"/>
          <c:showCatName val="0"/>
          <c:showSerName val="0"/>
          <c:showPercent val="0"/>
          <c:showBubbleSize val="0"/>
        </c:dLbls>
        <c:axId val="692704304"/>
        <c:axId val="692702336"/>
      </c:scatterChart>
      <c:valAx>
        <c:axId val="692704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a:solidFill>
                      <a:schemeClr val="accent5"/>
                    </a:solidFill>
                  </a:rPr>
                  <a:t>Number</a:t>
                </a:r>
                <a:r>
                  <a:rPr lang="en-US" baseline="0">
                    <a:solidFill>
                      <a:schemeClr val="accent5"/>
                    </a:solidFill>
                  </a:rPr>
                  <a:t> of Reviews</a:t>
                </a:r>
                <a:endParaRPr lang="en-US">
                  <a:solidFill>
                    <a:schemeClr val="accent5"/>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02336"/>
        <c:crosses val="autoZero"/>
        <c:crossBetween val="midCat"/>
      </c:valAx>
      <c:valAx>
        <c:axId val="69270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r>
                  <a:rPr lang="en-US">
                    <a:solidFill>
                      <a:schemeClr val="accent5"/>
                    </a:solidFill>
                  </a:rPr>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04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[Excel_jumia.xlsx]Descriptive analysis!PivotTable3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disctributions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'Descriptive analysis'!$C$16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F4-4D45-A11F-E0E0E07203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F4-4D45-A11F-E0E0E07203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F4-4D45-A11F-E0E0E0720358}"/>
              </c:ext>
            </c:extLst>
          </c:dPt>
          <c:dLbls>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F4-4D45-A11F-E0E0E0720358}"/>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F4-4D45-A11F-E0E0E07203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analysis'!$B$17:$B$20</c:f>
              <c:strCache>
                <c:ptCount val="3"/>
                <c:pt idx="0">
                  <c:v>Average</c:v>
                </c:pt>
                <c:pt idx="1">
                  <c:v>Excellent</c:v>
                </c:pt>
                <c:pt idx="2">
                  <c:v>Poor</c:v>
                </c:pt>
              </c:strCache>
            </c:strRef>
          </c:cat>
          <c:val>
            <c:numRef>
              <c:f>'Descriptive analysis'!$C$17:$C$20</c:f>
              <c:numCache>
                <c:formatCode>General</c:formatCode>
                <c:ptCount val="3"/>
                <c:pt idx="0">
                  <c:v>22</c:v>
                </c:pt>
                <c:pt idx="1">
                  <c:v>24</c:v>
                </c:pt>
                <c:pt idx="2">
                  <c:v>67</c:v>
                </c:pt>
              </c:numCache>
            </c:numRef>
          </c:val>
          <c:extLst>
            <c:ext xmlns:c16="http://schemas.microsoft.com/office/drawing/2014/chart" uri="{C3380CC4-5D6E-409C-BE32-E72D297353CC}">
              <c16:uniqueId val="{00000006-0DF4-4D45-A11F-E0E0E07203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[Excel_jumia.xlsx]Pivottables!PivotTable11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Distribution bby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Pivottables!$B$62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CAB-4DB6-A638-A1FB9B38D06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CAB-4DB6-A638-A1FB9B38D06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CAB-4DB6-A638-A1FB9B38D0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Pivottables!$A$63:$A$66</c:f>
              <c:strCache>
                <c:ptCount val="3"/>
                <c:pt idx="0">
                  <c:v>High Discount</c:v>
                </c:pt>
                <c:pt idx="1">
                  <c:v>Medium Discount</c:v>
                </c:pt>
                <c:pt idx="2">
                  <c:v>Low Dsicount</c:v>
                </c:pt>
              </c:strCache>
            </c:strRef>
          </c:cat>
          <c:val>
            <c:numRef>
              <c:f>Pivottables!$B$63:$B$66</c:f>
              <c:numCache>
                <c:formatCode>General</c:formatCode>
                <c:ptCount val="3"/>
                <c:pt idx="0">
                  <c:v>63</c:v>
                </c:pt>
                <c:pt idx="1">
                  <c:v>32</c:v>
                </c:pt>
                <c:pt idx="2">
                  <c:v>18</c:v>
                </c:pt>
              </c:numCache>
            </c:numRef>
          </c:val>
          <c:extLst>
            <c:ext xmlns:c16="http://schemas.microsoft.com/office/drawing/2014/chart" uri="{C3380CC4-5D6E-409C-BE32-E72D297353CC}">
              <c16:uniqueId val="{00000006-BCAB-4DB6-A638-A1FB9B38D06C}"/>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4</xdr:col>
      <xdr:colOff>323850</xdr:colOff>
      <xdr:row>0</xdr:row>
      <xdr:rowOff>171449</xdr:rowOff>
    </xdr:from>
    <xdr:to>
      <xdr:col>9</xdr:col>
      <xdr:colOff>571500</xdr:colOff>
      <xdr:row>11</xdr:row>
      <xdr:rowOff>107950</xdr:rowOff>
    </xdr:to>
    <xdr:graphicFrame macro="">
      <xdr:nvGraphicFramePr>
        <xdr:cNvPr id="3" name="Chart 2">
          <a:extLst>
            <a:ext uri="{FF2B5EF4-FFF2-40B4-BE49-F238E27FC236}">
              <a16:creationId xmlns:a16="http://schemas.microsoft.com/office/drawing/2014/main" id="{5288DBB1-D13F-4A15-94EB-5B4946DBA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177800</xdr:colOff>
      <xdr:row>2</xdr:row>
      <xdr:rowOff>180976</xdr:rowOff>
    </xdr:from>
    <xdr:to>
      <xdr:col>9</xdr:col>
      <xdr:colOff>38100</xdr:colOff>
      <xdr:row>14</xdr:row>
      <xdr:rowOff>111125</xdr:rowOff>
    </xdr:to>
    <xdr:graphicFrame macro="">
      <xdr:nvGraphicFramePr>
        <xdr:cNvPr id="3" name="Chart 2">
          <a:extLst>
            <a:ext uri="{FF2B5EF4-FFF2-40B4-BE49-F238E27FC236}">
              <a16:creationId xmlns:a16="http://schemas.microsoft.com/office/drawing/2014/main" id="{C909647A-CA86-4CF5-AF67-EA396C791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438150</xdr:colOff>
      <xdr:row>17</xdr:row>
      <xdr:rowOff>138112</xdr:rowOff>
    </xdr:from>
    <xdr:to>
      <xdr:col>8</xdr:col>
      <xdr:colOff>590550</xdr:colOff>
      <xdr:row>29</xdr:row>
      <xdr:rowOff>185737</xdr:rowOff>
    </xdr:to>
    <xdr:graphicFrame macro="">
      <xdr:nvGraphicFramePr>
        <xdr:cNvPr id="4" name="Chart 3">
          <a:extLst>
            <a:ext uri="{FF2B5EF4-FFF2-40B4-BE49-F238E27FC236}">
              <a16:creationId xmlns:a16="http://schemas.microsoft.com/office/drawing/2014/main" id="{116CBCE2-888C-4EBE-82D8-D0AB76FE9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579439</xdr:colOff>
      <xdr:row>32</xdr:row>
      <xdr:rowOff>95249</xdr:rowOff>
    </xdr:from>
    <xdr:to>
      <xdr:col>9</xdr:col>
      <xdr:colOff>420688</xdr:colOff>
      <xdr:row>42</xdr:row>
      <xdr:rowOff>158750</xdr:rowOff>
    </xdr:to>
    <xdr:graphicFrame macro="">
      <xdr:nvGraphicFramePr>
        <xdr:cNvPr id="6" name="Chart 5">
          <a:extLst>
            <a:ext uri="{FF2B5EF4-FFF2-40B4-BE49-F238E27FC236}">
              <a16:creationId xmlns:a16="http://schemas.microsoft.com/office/drawing/2014/main" id="{E0B8C01E-ECB6-4723-8671-4D0E2E174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45</xdr:row>
      <xdr:rowOff>177800</xdr:rowOff>
    </xdr:from>
    <xdr:to>
      <xdr:col>10</xdr:col>
      <xdr:colOff>304800</xdr:colOff>
      <xdr:row>60</xdr:row>
      <xdr:rowOff>63500</xdr:rowOff>
    </xdr:to>
    <xdr:graphicFrame macro="">
      <xdr:nvGraphicFramePr>
        <xdr:cNvPr id="2" name="Chart 1">
          <a:extLst>
            <a:ext uri="{FF2B5EF4-FFF2-40B4-BE49-F238E27FC236}">
              <a16:creationId xmlns:a16="http://schemas.microsoft.com/office/drawing/2014/main" id="{030733C4-9F03-4C33-81C2-3D3CFC0BC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590550</xdr:colOff>
      <xdr:row>2</xdr:row>
      <xdr:rowOff>38100</xdr:rowOff>
    </xdr:from>
    <xdr:to>
      <xdr:col>6</xdr:col>
      <xdr:colOff>565150</xdr:colOff>
      <xdr:row>3</xdr:row>
      <xdr:rowOff>139700</xdr:rowOff>
    </xdr:to>
    <xdr:sp macro="" textlink="$A$3">
      <xdr:nvSpPr>
        <xdr:cNvPr id="12" name="Rectangle: Rounded Corners 11">
          <a:extLst>
            <a:ext uri="{FF2B5EF4-FFF2-40B4-BE49-F238E27FC236}">
              <a16:creationId xmlns:a16="http://schemas.microsoft.com/office/drawing/2014/main" id="{D4ABDA98-B22B-4A07-B348-C00F1D5EA1A2}"/>
            </a:ext>
          </a:extLst>
        </xdr:cNvPr>
        <xdr:cNvSpPr/>
      </xdr:nvSpPr>
      <xdr:spPr>
        <a:xfrm>
          <a:off x="4432300" y="406400"/>
          <a:ext cx="1193800" cy="285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D0604EE-8A77-4EAB-9859-7FA397746CB9}" type="TxLink">
            <a:rPr lang="en-US" sz="1400" b="0" i="0" u="none" strike="noStrike">
              <a:solidFill>
                <a:srgbClr val="000000"/>
              </a:solidFill>
              <a:latin typeface="Calibri"/>
              <a:ea typeface="Calibri"/>
              <a:cs typeface="Calibri"/>
            </a:rPr>
            <a:pPr algn="ctr"/>
            <a:t>113</a:t>
          </a:fld>
          <a:endParaRPr lang="en-US" sz="1400"/>
        </a:p>
      </xdr:txBody>
    </xdr:sp>
    <xdr:clientData/>
  </xdr:twoCellAnchor>
  <xdr:twoCellAnchor>
    <xdr:from>
      <xdr:col>7</xdr:col>
      <xdr:colOff>190500</xdr:colOff>
      <xdr:row>2</xdr:row>
      <xdr:rowOff>38100</xdr:rowOff>
    </xdr:from>
    <xdr:to>
      <xdr:col>9</xdr:col>
      <xdr:colOff>165100</xdr:colOff>
      <xdr:row>3</xdr:row>
      <xdr:rowOff>139700</xdr:rowOff>
    </xdr:to>
    <xdr:sp macro="" textlink="$B$3">
      <xdr:nvSpPr>
        <xdr:cNvPr id="14" name="Rectangle: Rounded Corners 13">
          <a:extLst>
            <a:ext uri="{FF2B5EF4-FFF2-40B4-BE49-F238E27FC236}">
              <a16:creationId xmlns:a16="http://schemas.microsoft.com/office/drawing/2014/main" id="{1CBF6A47-D6DC-4884-8382-087AB581D01C}"/>
            </a:ext>
          </a:extLst>
        </xdr:cNvPr>
        <xdr:cNvSpPr/>
      </xdr:nvSpPr>
      <xdr:spPr>
        <a:xfrm>
          <a:off x="5861050" y="406400"/>
          <a:ext cx="1193800" cy="285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EA4D7A8-2B50-4FBA-8BDD-B7A17F391A1E}" type="TxLink">
            <a:rPr lang="en-US" sz="1600" b="0" i="0" u="none" strike="noStrike">
              <a:solidFill>
                <a:srgbClr val="000000"/>
              </a:solidFill>
              <a:latin typeface="Calibri"/>
              <a:ea typeface="Calibri"/>
              <a:cs typeface="Calibri"/>
            </a:rPr>
            <a:pPr algn="ctr"/>
            <a:t>725</a:t>
          </a:fld>
          <a:endParaRPr lang="en-US" sz="1600"/>
        </a:p>
      </xdr:txBody>
    </xdr:sp>
    <xdr:clientData/>
  </xdr:twoCellAnchor>
  <xdr:twoCellAnchor>
    <xdr:from>
      <xdr:col>9</xdr:col>
      <xdr:colOff>400050</xdr:colOff>
      <xdr:row>2</xdr:row>
      <xdr:rowOff>12700</xdr:rowOff>
    </xdr:from>
    <xdr:to>
      <xdr:col>11</xdr:col>
      <xdr:colOff>374650</xdr:colOff>
      <xdr:row>3</xdr:row>
      <xdr:rowOff>107950</xdr:rowOff>
    </xdr:to>
    <xdr:sp macro="" textlink="$C$3">
      <xdr:nvSpPr>
        <xdr:cNvPr id="16" name="Rectangle: Rounded Corners 15">
          <a:extLst>
            <a:ext uri="{FF2B5EF4-FFF2-40B4-BE49-F238E27FC236}">
              <a16:creationId xmlns:a16="http://schemas.microsoft.com/office/drawing/2014/main" id="{5FCE78A1-F776-4390-8B4C-D39CE3FCC6F7}"/>
            </a:ext>
          </a:extLst>
        </xdr:cNvPr>
        <xdr:cNvSpPr/>
      </xdr:nvSpPr>
      <xdr:spPr>
        <a:xfrm>
          <a:off x="7289800" y="381000"/>
          <a:ext cx="1193800" cy="279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F6C618A-EE61-4DE0-9EF1-8EEDEFA89662}" type="TxLink">
            <a:rPr lang="en-US" sz="1600" b="0" i="0" u="none" strike="noStrike">
              <a:solidFill>
                <a:srgbClr val="000000"/>
              </a:solidFill>
              <a:latin typeface="Calibri"/>
              <a:ea typeface="Calibri"/>
              <a:cs typeface="Calibri"/>
            </a:rPr>
            <a:pPr algn="ctr"/>
            <a:t>36.8%</a:t>
          </a:fld>
          <a:endParaRPr lang="en-US" sz="1600"/>
        </a:p>
      </xdr:txBody>
    </xdr:sp>
    <xdr:clientData/>
  </xdr:twoCellAnchor>
  <xdr:twoCellAnchor>
    <xdr:from>
      <xdr:col>12</xdr:col>
      <xdr:colOff>0</xdr:colOff>
      <xdr:row>2</xdr:row>
      <xdr:rowOff>0</xdr:rowOff>
    </xdr:from>
    <xdr:to>
      <xdr:col>13</xdr:col>
      <xdr:colOff>584200</xdr:colOff>
      <xdr:row>3</xdr:row>
      <xdr:rowOff>63500</xdr:rowOff>
    </xdr:to>
    <xdr:sp macro="" textlink="$D$3">
      <xdr:nvSpPr>
        <xdr:cNvPr id="17" name="Rectangle: Rounded Corners 16">
          <a:extLst>
            <a:ext uri="{FF2B5EF4-FFF2-40B4-BE49-F238E27FC236}">
              <a16:creationId xmlns:a16="http://schemas.microsoft.com/office/drawing/2014/main" id="{0AA39426-0D0F-4971-BFA0-BFE216CCE29D}"/>
            </a:ext>
          </a:extLst>
        </xdr:cNvPr>
        <xdr:cNvSpPr/>
      </xdr:nvSpPr>
      <xdr:spPr>
        <a:xfrm>
          <a:off x="8718550" y="368300"/>
          <a:ext cx="1193800" cy="247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B29CE1F-0E97-48C1-B498-B2F2080E6D29}" type="TxLink">
            <a:rPr lang="en-US" sz="1400" b="0" i="0" u="none" strike="noStrike">
              <a:solidFill>
                <a:srgbClr val="000000"/>
              </a:solidFill>
              <a:latin typeface="Calibri"/>
              <a:ea typeface="Calibri"/>
              <a:cs typeface="Calibri"/>
            </a:rPr>
            <a:pPr algn="ctr"/>
            <a:t>2.0</a:t>
          </a:fld>
          <a:endParaRPr lang="en-US" sz="1400"/>
        </a:p>
      </xdr:txBody>
    </xdr:sp>
    <xdr:clientData/>
  </xdr:twoCellAnchor>
  <xdr:twoCellAnchor>
    <xdr:from>
      <xdr:col>0</xdr:col>
      <xdr:colOff>0</xdr:colOff>
      <xdr:row>6</xdr:row>
      <xdr:rowOff>99786</xdr:rowOff>
    </xdr:from>
    <xdr:to>
      <xdr:col>3</xdr:col>
      <xdr:colOff>346131</xdr:colOff>
      <xdr:row>17</xdr:row>
      <xdr:rowOff>9876</xdr:rowOff>
    </xdr:to>
    <xdr:graphicFrame macro="">
      <xdr:nvGraphicFramePr>
        <xdr:cNvPr id="23" name="Chart 22">
          <a:extLst>
            <a:ext uri="{FF2B5EF4-FFF2-40B4-BE49-F238E27FC236}">
              <a16:creationId xmlns:a16="http://schemas.microsoft.com/office/drawing/2014/main" id="{9C0F1ABA-B8DA-42D0-92C0-95979505D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3</xdr:col>
      <xdr:colOff>351971</xdr:colOff>
      <xdr:row>32</xdr:row>
      <xdr:rowOff>112031</xdr:rowOff>
    </xdr:to>
    <xdr:graphicFrame macro="">
      <xdr:nvGraphicFramePr>
        <xdr:cNvPr id="25" name="Chart 24">
          <a:extLst>
            <a:ext uri="{FF2B5EF4-FFF2-40B4-BE49-F238E27FC236}">
              <a16:creationId xmlns:a16="http://schemas.microsoft.com/office/drawing/2014/main" id="{E9D617A1-6C08-4767-83CF-6022F465C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35</xdr:row>
      <xdr:rowOff>0</xdr:rowOff>
    </xdr:from>
    <xdr:to>
      <xdr:col>3</xdr:col>
      <xdr:colOff>353786</xdr:colOff>
      <xdr:row>46</xdr:row>
      <xdr:rowOff>81643</xdr:rowOff>
    </xdr:to>
    <xdr:graphicFrame macro="">
      <xdr:nvGraphicFramePr>
        <xdr:cNvPr id="26" name="Chart 25">
          <a:extLst>
            <a:ext uri="{FF2B5EF4-FFF2-40B4-BE49-F238E27FC236}">
              <a16:creationId xmlns:a16="http://schemas.microsoft.com/office/drawing/2014/main" id="{D0EE3C18-C861-4CFE-B68D-783B45ACA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18142</xdr:colOff>
      <xdr:row>7</xdr:row>
      <xdr:rowOff>9070</xdr:rowOff>
    </xdr:from>
    <xdr:to>
      <xdr:col>11</xdr:col>
      <xdr:colOff>317500</xdr:colOff>
      <xdr:row>17</xdr:row>
      <xdr:rowOff>154214</xdr:rowOff>
    </xdr:to>
    <xdr:graphicFrame macro="">
      <xdr:nvGraphicFramePr>
        <xdr:cNvPr id="28" name="Chart 27">
          <a:extLst>
            <a:ext uri="{FF2B5EF4-FFF2-40B4-BE49-F238E27FC236}">
              <a16:creationId xmlns:a16="http://schemas.microsoft.com/office/drawing/2014/main" id="{9B8947CA-61E1-43FF-8BA1-68510D9CD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589642</xdr:colOff>
      <xdr:row>19</xdr:row>
      <xdr:rowOff>172357</xdr:rowOff>
    </xdr:from>
    <xdr:to>
      <xdr:col>11</xdr:col>
      <xdr:colOff>317499</xdr:colOff>
      <xdr:row>33</xdr:row>
      <xdr:rowOff>81643</xdr:rowOff>
    </xdr:to>
    <xdr:graphicFrame macro="">
      <xdr:nvGraphicFramePr>
        <xdr:cNvPr id="30" name="Chart 29">
          <a:extLst>
            <a:ext uri="{FF2B5EF4-FFF2-40B4-BE49-F238E27FC236}">
              <a16:creationId xmlns:a16="http://schemas.microsoft.com/office/drawing/2014/main" id="{9A184CCF-5F73-4BCC-AD80-A8DF3D023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571502</xdr:colOff>
      <xdr:row>6</xdr:row>
      <xdr:rowOff>172357</xdr:rowOff>
    </xdr:from>
    <xdr:to>
      <xdr:col>19</xdr:col>
      <xdr:colOff>308430</xdr:colOff>
      <xdr:row>17</xdr:row>
      <xdr:rowOff>63500</xdr:rowOff>
    </xdr:to>
    <xdr:graphicFrame macro="">
      <xdr:nvGraphicFramePr>
        <xdr:cNvPr id="31" name="Chart 30">
          <a:extLst>
            <a:ext uri="{FF2B5EF4-FFF2-40B4-BE49-F238E27FC236}">
              <a16:creationId xmlns:a16="http://schemas.microsoft.com/office/drawing/2014/main" id="{B27A88FC-8CC2-4030-BA96-68DE12373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20</xdr:row>
      <xdr:rowOff>0</xdr:rowOff>
    </xdr:from>
    <xdr:to>
      <xdr:col>19</xdr:col>
      <xdr:colOff>371929</xdr:colOff>
      <xdr:row>33</xdr:row>
      <xdr:rowOff>163286</xdr:rowOff>
    </xdr:to>
    <xdr:graphicFrame macro="">
      <xdr:nvGraphicFramePr>
        <xdr:cNvPr id="32" name="Chart 31">
          <a:extLst>
            <a:ext uri="{FF2B5EF4-FFF2-40B4-BE49-F238E27FC236}">
              <a16:creationId xmlns:a16="http://schemas.microsoft.com/office/drawing/2014/main" id="{1CD62113-6017-4F18-B41B-8AEBFB41C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523875</xdr:colOff>
      <xdr:row>35</xdr:row>
      <xdr:rowOff>63500</xdr:rowOff>
    </xdr:from>
    <xdr:to>
      <xdr:col>12</xdr:col>
      <xdr:colOff>269875</xdr:colOff>
      <xdr:row>49</xdr:row>
      <xdr:rowOff>139700</xdr:rowOff>
    </xdr:to>
    <xdr:graphicFrame macro="">
      <xdr:nvGraphicFramePr>
        <xdr:cNvPr id="18" name="Chart 17">
          <a:extLst>
            <a:ext uri="{FF2B5EF4-FFF2-40B4-BE49-F238E27FC236}">
              <a16:creationId xmlns:a16="http://schemas.microsoft.com/office/drawing/2014/main" id="{0D1E132F-CBEB-4008-B5AC-EC9E3778B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195791</xdr:colOff>
      <xdr:row>7</xdr:row>
      <xdr:rowOff>169333</xdr:rowOff>
    </xdr:from>
    <xdr:to>
      <xdr:col>15</xdr:col>
      <xdr:colOff>148166</xdr:colOff>
      <xdr:row>10</xdr:row>
      <xdr:rowOff>169333</xdr:rowOff>
    </xdr:to>
    <xdr:sp macro="" textlink="">
      <xdr:nvSpPr>
        <xdr:cNvPr id="63" name="Rectangle: Rounded Corners 62">
          <a:extLst>
            <a:ext uri="{FF2B5EF4-FFF2-40B4-BE49-F238E27FC236}">
              <a16:creationId xmlns:a16="http://schemas.microsoft.com/office/drawing/2014/main" id="{39BBEF66-62A8-41EC-8C43-7A316B831C7C}"/>
            </a:ext>
          </a:extLst>
        </xdr:cNvPr>
        <xdr:cNvSpPr/>
      </xdr:nvSpPr>
      <xdr:spPr>
        <a:xfrm>
          <a:off x="6947958" y="1502833"/>
          <a:ext cx="2407708" cy="5715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ea typeface="Calibri"/>
              <a:cs typeface="Calibri"/>
            </a:rPr>
            <a:t>Number of Products</a:t>
          </a:r>
        </a:p>
        <a:p>
          <a:pPr algn="ctr"/>
          <a:endParaRPr lang="en-US" sz="1600" b="1" i="0" u="none" strike="noStrike">
            <a:solidFill>
              <a:srgbClr val="000000"/>
            </a:solidFill>
            <a:latin typeface="Calibri"/>
            <a:ea typeface="Calibri"/>
            <a:cs typeface="Calibri"/>
          </a:endParaRPr>
        </a:p>
      </xdr:txBody>
    </xdr:sp>
    <xdr:clientData/>
  </xdr:twoCellAnchor>
  <xdr:twoCellAnchor>
    <xdr:from>
      <xdr:col>18</xdr:col>
      <xdr:colOff>511175</xdr:colOff>
      <xdr:row>7</xdr:row>
      <xdr:rowOff>165100</xdr:rowOff>
    </xdr:from>
    <xdr:to>
      <xdr:col>22</xdr:col>
      <xdr:colOff>459317</xdr:colOff>
      <xdr:row>10</xdr:row>
      <xdr:rowOff>165100</xdr:rowOff>
    </xdr:to>
    <xdr:sp macro="" textlink="">
      <xdr:nvSpPr>
        <xdr:cNvPr id="64" name="Rectangle: Rounded Corners 63">
          <a:extLst>
            <a:ext uri="{FF2B5EF4-FFF2-40B4-BE49-F238E27FC236}">
              <a16:creationId xmlns:a16="http://schemas.microsoft.com/office/drawing/2014/main" id="{C112B64C-830A-4D13-89C4-CB1C1D9507F7}"/>
            </a:ext>
          </a:extLst>
        </xdr:cNvPr>
        <xdr:cNvSpPr/>
      </xdr:nvSpPr>
      <xdr:spPr>
        <a:xfrm>
          <a:off x="11560175" y="1498600"/>
          <a:ext cx="2403475" cy="5715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ea typeface="Calibri"/>
              <a:cs typeface="Calibri"/>
            </a:rPr>
            <a:t>Average</a:t>
          </a:r>
          <a:r>
            <a:rPr lang="en-US" sz="1600" b="1" i="0" u="none" strike="noStrike" baseline="0">
              <a:solidFill>
                <a:srgbClr val="000000"/>
              </a:solidFill>
              <a:latin typeface="Calibri"/>
              <a:ea typeface="Calibri"/>
              <a:cs typeface="Calibri"/>
            </a:rPr>
            <a:t> Rating</a:t>
          </a:r>
        </a:p>
      </xdr:txBody>
    </xdr:sp>
    <xdr:clientData/>
  </xdr:twoCellAnchor>
  <xdr:twoCellAnchor>
    <xdr:from>
      <xdr:col>24</xdr:col>
      <xdr:colOff>609601</xdr:colOff>
      <xdr:row>7</xdr:row>
      <xdr:rowOff>61913</xdr:rowOff>
    </xdr:from>
    <xdr:to>
      <xdr:col>28</xdr:col>
      <xdr:colOff>561976</xdr:colOff>
      <xdr:row>10</xdr:row>
      <xdr:rowOff>61913</xdr:rowOff>
    </xdr:to>
    <xdr:sp macro="" textlink="">
      <xdr:nvSpPr>
        <xdr:cNvPr id="65" name="Rectangle: Rounded Corners 64">
          <a:extLst>
            <a:ext uri="{FF2B5EF4-FFF2-40B4-BE49-F238E27FC236}">
              <a16:creationId xmlns:a16="http://schemas.microsoft.com/office/drawing/2014/main" id="{5C8A0743-81D7-4261-BBB1-2ED99E3FD397}"/>
            </a:ext>
          </a:extLst>
        </xdr:cNvPr>
        <xdr:cNvSpPr/>
      </xdr:nvSpPr>
      <xdr:spPr>
        <a:xfrm>
          <a:off x="15341601" y="1395413"/>
          <a:ext cx="2407708" cy="5715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ea typeface="Calibri"/>
              <a:cs typeface="Calibri"/>
            </a:rPr>
            <a:t>Average</a:t>
          </a:r>
          <a:r>
            <a:rPr lang="en-US" sz="1600" b="1" i="0" u="none" strike="noStrike" baseline="0">
              <a:solidFill>
                <a:srgbClr val="000000"/>
              </a:solidFill>
              <a:latin typeface="Calibri"/>
              <a:ea typeface="Calibri"/>
              <a:cs typeface="Calibri"/>
            </a:rPr>
            <a:t> Discount Percentage</a:t>
          </a:r>
        </a:p>
      </xdr:txBody>
    </xdr:sp>
    <xdr:clientData/>
  </xdr:twoCellAnchor>
  <xdr:twoCellAnchor>
    <xdr:from>
      <xdr:col>32</xdr:col>
      <xdr:colOff>0</xdr:colOff>
      <xdr:row>7</xdr:row>
      <xdr:rowOff>105833</xdr:rowOff>
    </xdr:from>
    <xdr:to>
      <xdr:col>35</xdr:col>
      <xdr:colOff>566209</xdr:colOff>
      <xdr:row>10</xdr:row>
      <xdr:rowOff>105833</xdr:rowOff>
    </xdr:to>
    <xdr:sp macro="" textlink="">
      <xdr:nvSpPr>
        <xdr:cNvPr id="66" name="Rectangle: Rounded Corners 65">
          <a:extLst>
            <a:ext uri="{FF2B5EF4-FFF2-40B4-BE49-F238E27FC236}">
              <a16:creationId xmlns:a16="http://schemas.microsoft.com/office/drawing/2014/main" id="{3FE2F576-488A-4EEF-BC45-AD581410A8F8}"/>
            </a:ext>
          </a:extLst>
        </xdr:cNvPr>
        <xdr:cNvSpPr/>
      </xdr:nvSpPr>
      <xdr:spPr>
        <a:xfrm>
          <a:off x="19642667" y="1439333"/>
          <a:ext cx="2407709" cy="5715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Calibri"/>
              <a:ea typeface="Calibri"/>
              <a:cs typeface="Calibri"/>
            </a:rPr>
            <a:t>Number</a:t>
          </a:r>
          <a:r>
            <a:rPr lang="en-US" sz="1600" b="1" i="0" u="none" strike="noStrike" baseline="0">
              <a:solidFill>
                <a:srgbClr val="000000"/>
              </a:solidFill>
              <a:latin typeface="Calibri"/>
              <a:ea typeface="Calibri"/>
              <a:cs typeface="Calibri"/>
            </a:rPr>
            <a:t> of Reviews</a:t>
          </a:r>
        </a:p>
      </xdr:txBody>
    </xdr:sp>
    <xdr:clientData/>
  </xdr:twoCellAnchor>
  <xdr:twoCellAnchor editAs="oneCell">
    <xdr:from>
      <xdr:col>0</xdr:col>
      <xdr:colOff>0</xdr:colOff>
      <xdr:row>0</xdr:row>
      <xdr:rowOff>0</xdr:rowOff>
    </xdr:from>
    <xdr:to>
      <xdr:col>5</xdr:col>
      <xdr:colOff>328084</xdr:colOff>
      <xdr:row>4</xdr:row>
      <xdr:rowOff>184150</xdr:rowOff>
    </xdr:to>
    <xdr:pic>
      <xdr:nvPicPr>
        <xdr:cNvPr id="3" name="Picture 2">
          <a:extLst>
            <a:ext uri="{FF2B5EF4-FFF2-40B4-BE49-F238E27FC236}">
              <a16:creationId xmlns:a16="http://schemas.microsoft.com/office/drawing/2014/main" id="{10684265-D33F-44C6-A1ED-70705831FC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397251" cy="946150"/>
        </a:xfrm>
        <a:prstGeom prst="rect">
          <a:avLst/>
        </a:prstGeom>
        <a:solidFill>
          <a:schemeClr val="bg1"/>
        </a:solidFill>
      </xdr:spPr>
    </xdr:pic>
    <xdr:clientData/>
  </xdr:twoCellAnchor>
  <xdr:twoCellAnchor>
    <xdr:from>
      <xdr:col>5</xdr:col>
      <xdr:colOff>120315</xdr:colOff>
      <xdr:row>17</xdr:row>
      <xdr:rowOff>4703</xdr:rowOff>
    </xdr:from>
    <xdr:to>
      <xdr:col>15</xdr:col>
      <xdr:colOff>382782</xdr:colOff>
      <xdr:row>36</xdr:row>
      <xdr:rowOff>42803</xdr:rowOff>
    </xdr:to>
    <xdr:graphicFrame macro="">
      <xdr:nvGraphicFramePr>
        <xdr:cNvPr id="38" name="Chart 37">
          <a:extLst>
            <a:ext uri="{FF2B5EF4-FFF2-40B4-BE49-F238E27FC236}">
              <a16:creationId xmlns:a16="http://schemas.microsoft.com/office/drawing/2014/main" id="{B0CD825E-BCE7-42B5-AF41-2174CFAC8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30236</xdr:colOff>
      <xdr:row>17</xdr:row>
      <xdr:rowOff>4703</xdr:rowOff>
    </xdr:from>
    <xdr:to>
      <xdr:col>27</xdr:col>
      <xdr:colOff>292703</xdr:colOff>
      <xdr:row>36</xdr:row>
      <xdr:rowOff>42803</xdr:rowOff>
    </xdr:to>
    <xdr:graphicFrame macro="">
      <xdr:nvGraphicFramePr>
        <xdr:cNvPr id="40" name="Chart 39">
          <a:extLst>
            <a:ext uri="{FF2B5EF4-FFF2-40B4-BE49-F238E27FC236}">
              <a16:creationId xmlns:a16="http://schemas.microsoft.com/office/drawing/2014/main" id="{66E52478-AA17-4053-9ADF-EA886E4B9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171690</xdr:colOff>
      <xdr:row>17</xdr:row>
      <xdr:rowOff>4703</xdr:rowOff>
    </xdr:from>
    <xdr:to>
      <xdr:col>54</xdr:col>
      <xdr:colOff>434157</xdr:colOff>
      <xdr:row>36</xdr:row>
      <xdr:rowOff>42803</xdr:rowOff>
    </xdr:to>
    <xdr:graphicFrame macro="">
      <xdr:nvGraphicFramePr>
        <xdr:cNvPr id="43" name="Chart 42">
          <a:extLst>
            <a:ext uri="{FF2B5EF4-FFF2-40B4-BE49-F238E27FC236}">
              <a16:creationId xmlns:a16="http://schemas.microsoft.com/office/drawing/2014/main" id="{5C99446A-5B6C-469A-8BB7-57918A920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77741</xdr:colOff>
      <xdr:row>17</xdr:row>
      <xdr:rowOff>4703</xdr:rowOff>
    </xdr:from>
    <xdr:to>
      <xdr:col>40</xdr:col>
      <xdr:colOff>340208</xdr:colOff>
      <xdr:row>36</xdr:row>
      <xdr:rowOff>42803</xdr:rowOff>
    </xdr:to>
    <xdr:graphicFrame macro="">
      <xdr:nvGraphicFramePr>
        <xdr:cNvPr id="53" name="Chart 52">
          <a:extLst>
            <a:ext uri="{FF2B5EF4-FFF2-40B4-BE49-F238E27FC236}">
              <a16:creationId xmlns:a16="http://schemas.microsoft.com/office/drawing/2014/main" id="{2584244A-02F0-4A42-A061-6711F2C05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38</xdr:row>
      <xdr:rowOff>19051</xdr:rowOff>
    </xdr:from>
    <xdr:to>
      <xdr:col>3</xdr:col>
      <xdr:colOff>317500</xdr:colOff>
      <xdr:row>46</xdr:row>
      <xdr:rowOff>63501</xdr:rowOff>
    </xdr:to>
    <mc:AlternateContent xmlns:mc="http://schemas.openxmlformats.org/markup-compatibility/2006" xmlns:a14="http://schemas.microsoft.com/office/drawing/2010/main">
      <mc:Choice Requires="a14">
        <xdr:graphicFrame macro="">
          <xdr:nvGraphicFramePr>
            <xdr:cNvPr id="54" name="Rating category">
              <a:extLst>
                <a:ext uri="{FF2B5EF4-FFF2-40B4-BE49-F238E27FC236}">
                  <a16:creationId xmlns:a16="http://schemas.microsoft.com/office/drawing/2014/main" id="{345BBCD2-F494-4973-A2E5-AC15B545B727}"/>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0" y="7258051"/>
              <a:ext cx="2159000" cy="1568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178859</xdr:rowOff>
    </xdr:from>
    <xdr:to>
      <xdr:col>3</xdr:col>
      <xdr:colOff>275166</xdr:colOff>
      <xdr:row>25</xdr:row>
      <xdr:rowOff>70909</xdr:rowOff>
    </xdr:to>
    <mc:AlternateContent xmlns:mc="http://schemas.openxmlformats.org/markup-compatibility/2006" xmlns:a14="http://schemas.microsoft.com/office/drawing/2010/main">
      <mc:Choice Requires="a14">
        <xdr:graphicFrame macro="">
          <xdr:nvGraphicFramePr>
            <xdr:cNvPr id="55" name="Discount Category">
              <a:extLst>
                <a:ext uri="{FF2B5EF4-FFF2-40B4-BE49-F238E27FC236}">
                  <a16:creationId xmlns:a16="http://schemas.microsoft.com/office/drawing/2014/main" id="{9BEB9DFE-AA8F-49D6-A867-1B7B68BE1C85}"/>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0" y="3417359"/>
              <a:ext cx="2116666" cy="141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195791</xdr:colOff>
      <xdr:row>9</xdr:row>
      <xdr:rowOff>107420</xdr:rowOff>
    </xdr:from>
    <xdr:to>
      <xdr:col>15</xdr:col>
      <xdr:colOff>148166</xdr:colOff>
      <xdr:row>12</xdr:row>
      <xdr:rowOff>120120</xdr:rowOff>
    </xdr:to>
    <xdr:sp macro="" textlink="Pivottables!$M$7">
      <xdr:nvSpPr>
        <xdr:cNvPr id="56" name="Rectangle: Rounded Corners 55">
          <a:extLst>
            <a:ext uri="{FF2B5EF4-FFF2-40B4-BE49-F238E27FC236}">
              <a16:creationId xmlns:a16="http://schemas.microsoft.com/office/drawing/2014/main" id="{62EE1690-AE6D-4786-B8E9-22B1D8F20A7B}"/>
            </a:ext>
          </a:extLst>
        </xdr:cNvPr>
        <xdr:cNvSpPr/>
      </xdr:nvSpPr>
      <xdr:spPr>
        <a:xfrm>
          <a:off x="6947958" y="1821920"/>
          <a:ext cx="2407708" cy="5842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2BEFC0B-926E-4C12-B788-14A342D2C14B}" type="TxLink">
            <a:rPr lang="en-US" sz="3200" b="1" i="0" u="none" strike="noStrike">
              <a:solidFill>
                <a:srgbClr val="000000"/>
              </a:solidFill>
              <a:latin typeface="Calibri"/>
              <a:ea typeface="Calibri"/>
              <a:cs typeface="Calibri"/>
            </a:rPr>
            <a:pPr algn="ctr"/>
            <a:t>113</a:t>
          </a:fld>
          <a:endParaRPr lang="en-US" sz="3200" b="1"/>
        </a:p>
      </xdr:txBody>
    </xdr:sp>
    <xdr:clientData/>
  </xdr:twoCellAnchor>
  <xdr:twoCellAnchor>
    <xdr:from>
      <xdr:col>18</xdr:col>
      <xdr:colOff>513291</xdr:colOff>
      <xdr:row>9</xdr:row>
      <xdr:rowOff>103187</xdr:rowOff>
    </xdr:from>
    <xdr:to>
      <xdr:col>22</xdr:col>
      <xdr:colOff>461433</xdr:colOff>
      <xdr:row>12</xdr:row>
      <xdr:rowOff>115887</xdr:rowOff>
    </xdr:to>
    <xdr:sp macro="" textlink="Pivottables!$K$7">
      <xdr:nvSpPr>
        <xdr:cNvPr id="57" name="Rectangle: Rounded Corners 56">
          <a:extLst>
            <a:ext uri="{FF2B5EF4-FFF2-40B4-BE49-F238E27FC236}">
              <a16:creationId xmlns:a16="http://schemas.microsoft.com/office/drawing/2014/main" id="{31C818C8-80D1-47D7-B014-21DBBA319B52}"/>
            </a:ext>
          </a:extLst>
        </xdr:cNvPr>
        <xdr:cNvSpPr/>
      </xdr:nvSpPr>
      <xdr:spPr>
        <a:xfrm>
          <a:off x="11562291" y="1817687"/>
          <a:ext cx="2403475" cy="5842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BAB8960-B809-4A7C-812D-93E24F5B3493}" type="TxLink">
            <a:rPr lang="en-US" sz="3200" b="1" i="0" u="none" strike="noStrike">
              <a:solidFill>
                <a:srgbClr val="000000"/>
              </a:solidFill>
              <a:latin typeface="Calibri"/>
              <a:ea typeface="Calibri"/>
              <a:cs typeface="Calibri"/>
            </a:rPr>
            <a:pPr algn="ctr"/>
            <a:t>2.00</a:t>
          </a:fld>
          <a:endParaRPr lang="en-US" sz="3200" b="1"/>
        </a:p>
      </xdr:txBody>
    </xdr:sp>
    <xdr:clientData/>
  </xdr:twoCellAnchor>
  <xdr:twoCellAnchor>
    <xdr:from>
      <xdr:col>25</xdr:col>
      <xdr:colOff>0</xdr:colOff>
      <xdr:row>9</xdr:row>
      <xdr:rowOff>0</xdr:rowOff>
    </xdr:from>
    <xdr:to>
      <xdr:col>28</xdr:col>
      <xdr:colOff>559858</xdr:colOff>
      <xdr:row>12</xdr:row>
      <xdr:rowOff>12700</xdr:rowOff>
    </xdr:to>
    <xdr:sp macro="" textlink="Pivottables!$L$7">
      <xdr:nvSpPr>
        <xdr:cNvPr id="58" name="Rectangle: Rounded Corners 57">
          <a:extLst>
            <a:ext uri="{FF2B5EF4-FFF2-40B4-BE49-F238E27FC236}">
              <a16:creationId xmlns:a16="http://schemas.microsoft.com/office/drawing/2014/main" id="{062F7B87-185F-431D-837E-B0FE3876A80C}"/>
            </a:ext>
          </a:extLst>
        </xdr:cNvPr>
        <xdr:cNvSpPr/>
      </xdr:nvSpPr>
      <xdr:spPr>
        <a:xfrm>
          <a:off x="15345833" y="1714500"/>
          <a:ext cx="2401358" cy="5842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E1DC370-508D-499F-BF58-37C896402C94}" type="TxLink">
            <a:rPr lang="en-US" sz="3200" b="1" i="0" u="none" strike="noStrike">
              <a:solidFill>
                <a:srgbClr val="000000"/>
              </a:solidFill>
              <a:latin typeface="Calibri"/>
              <a:ea typeface="Calibri"/>
              <a:cs typeface="Calibri"/>
            </a:rPr>
            <a:pPr algn="ctr"/>
            <a:t>36.79%</a:t>
          </a:fld>
          <a:endParaRPr lang="en-US" sz="3200" b="1"/>
        </a:p>
      </xdr:txBody>
    </xdr:sp>
    <xdr:clientData/>
  </xdr:twoCellAnchor>
  <xdr:twoCellAnchor>
    <xdr:from>
      <xdr:col>32</xdr:col>
      <xdr:colOff>0</xdr:colOff>
      <xdr:row>9</xdr:row>
      <xdr:rowOff>43920</xdr:rowOff>
    </xdr:from>
    <xdr:to>
      <xdr:col>35</xdr:col>
      <xdr:colOff>566209</xdr:colOff>
      <xdr:row>12</xdr:row>
      <xdr:rowOff>56620</xdr:rowOff>
    </xdr:to>
    <xdr:sp macro="" textlink="Pivottables!$N$7">
      <xdr:nvSpPr>
        <xdr:cNvPr id="59" name="Rectangle: Rounded Corners 58">
          <a:extLst>
            <a:ext uri="{FF2B5EF4-FFF2-40B4-BE49-F238E27FC236}">
              <a16:creationId xmlns:a16="http://schemas.microsoft.com/office/drawing/2014/main" id="{4EEA0895-6B69-4429-B6AF-37C257884979}"/>
            </a:ext>
          </a:extLst>
        </xdr:cNvPr>
        <xdr:cNvSpPr/>
      </xdr:nvSpPr>
      <xdr:spPr>
        <a:xfrm>
          <a:off x="19642667" y="1758420"/>
          <a:ext cx="2407709" cy="5842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176682C-5C97-4198-9601-3A2774874394}" type="TxLink">
            <a:rPr lang="en-US" sz="3200" b="1" i="0" u="none" strike="noStrike">
              <a:solidFill>
                <a:srgbClr val="000000"/>
              </a:solidFill>
              <a:latin typeface="Calibri"/>
              <a:ea typeface="Calibri"/>
              <a:cs typeface="Calibri"/>
            </a:rPr>
            <a:pPr algn="ctr"/>
            <a:t>725</a:t>
          </a:fld>
          <a:endParaRPr lang="en-US" sz="3200" b="1"/>
        </a:p>
      </xdr:txBody>
    </xdr:sp>
    <xdr:clientData/>
  </xdr:twoCellAnchor>
  <xdr:twoCellAnchor>
    <xdr:from>
      <xdr:col>5</xdr:col>
      <xdr:colOff>183815</xdr:colOff>
      <xdr:row>40</xdr:row>
      <xdr:rowOff>180797</xdr:rowOff>
    </xdr:from>
    <xdr:to>
      <xdr:col>15</xdr:col>
      <xdr:colOff>446282</xdr:colOff>
      <xdr:row>60</xdr:row>
      <xdr:rowOff>28397</xdr:rowOff>
    </xdr:to>
    <xdr:graphicFrame macro="">
      <xdr:nvGraphicFramePr>
        <xdr:cNvPr id="69" name="Chart 68">
          <a:extLst>
            <a:ext uri="{FF2B5EF4-FFF2-40B4-BE49-F238E27FC236}">
              <a16:creationId xmlns:a16="http://schemas.microsoft.com/office/drawing/2014/main" id="{0C74BF33-257A-41A5-92B2-F1C4424A9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30236</xdr:colOff>
      <xdr:row>40</xdr:row>
      <xdr:rowOff>180797</xdr:rowOff>
    </xdr:from>
    <xdr:to>
      <xdr:col>27</xdr:col>
      <xdr:colOff>292703</xdr:colOff>
      <xdr:row>60</xdr:row>
      <xdr:rowOff>28397</xdr:rowOff>
    </xdr:to>
    <xdr:graphicFrame macro="">
      <xdr:nvGraphicFramePr>
        <xdr:cNvPr id="70" name="Chart 69">
          <a:extLst>
            <a:ext uri="{FF2B5EF4-FFF2-40B4-BE49-F238E27FC236}">
              <a16:creationId xmlns:a16="http://schemas.microsoft.com/office/drawing/2014/main" id="{8360C4CD-6BF8-4989-B613-F7CF413B1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47048</xdr:colOff>
      <xdr:row>40</xdr:row>
      <xdr:rowOff>180797</xdr:rowOff>
    </xdr:from>
    <xdr:to>
      <xdr:col>40</xdr:col>
      <xdr:colOff>309515</xdr:colOff>
      <xdr:row>60</xdr:row>
      <xdr:rowOff>28397</xdr:rowOff>
    </xdr:to>
    <xdr:graphicFrame macro="">
      <xdr:nvGraphicFramePr>
        <xdr:cNvPr id="71" name="Chart 70">
          <a:extLst>
            <a:ext uri="{FF2B5EF4-FFF2-40B4-BE49-F238E27FC236}">
              <a16:creationId xmlns:a16="http://schemas.microsoft.com/office/drawing/2014/main" id="{2D1D6F73-87BD-4CFB-8162-E15F6D61E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44</xdr:col>
      <xdr:colOff>171690</xdr:colOff>
      <xdr:row>40</xdr:row>
      <xdr:rowOff>180797</xdr:rowOff>
    </xdr:from>
    <xdr:to>
      <xdr:col>54</xdr:col>
      <xdr:colOff>434157</xdr:colOff>
      <xdr:row>60</xdr:row>
      <xdr:rowOff>28397</xdr:rowOff>
    </xdr:to>
    <xdr:graphicFrame macro="">
      <xdr:nvGraphicFramePr>
        <xdr:cNvPr id="22" name="Chart 21">
          <a:extLst>
            <a:ext uri="{FF2B5EF4-FFF2-40B4-BE49-F238E27FC236}">
              <a16:creationId xmlns:a16="http://schemas.microsoft.com/office/drawing/2014/main" id="{9C5C051B-C2D6-4E45-AB85-E4396DED7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ah Wangila" refreshedDate="46139.581743981478" createdVersion="7" refreshedVersion="7" minRefreshableVersion="3" recordCount="114" xr:uid="{EB8EA864-5614-4DCC-8AE5-A2F6D64D3724}">
  <cacheSource type="worksheet">
    <worksheetSource ref="B1:J1048576" sheet="Excel_jumia"/>
  </cacheSource>
  <cacheFields count="9">
    <cacheField name="Product" numFmtId="0">
      <sharedItems containsBlank="1" count="111">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A"/>
        <s v="1/2/3 Seater Elastic Sofa Cover,Living Room/Home Decor Chair Cover-Grey "/>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0">
      <sharedItems containsString="0" containsBlank="1" containsNumber="1" containsInteger="1" minValue="38" maxValue="3750"/>
    </cacheField>
    <cacheField name="Old price" numFmtId="0">
      <sharedItems containsString="0" containsBlank="1" containsNumber="1" containsInteger="1" minValue="80" maxValue="6143"/>
    </cacheField>
    <cacheField name="Discount Amount" numFmtId="0">
      <sharedItems containsString="0" containsBlank="1" containsNumber="1" containsInteger="1" minValue="24" maxValue="2585"/>
    </cacheField>
    <cacheField name="Discount Percentage" numFmtId="9">
      <sharedItems containsString="0" containsBlank="1" containsNumber="1" minValue="0.01" maxValue="0.64"/>
    </cacheField>
    <cacheField name="Review" numFmtId="0">
      <sharedItems containsString="0" containsBlank="1" containsNumber="1" containsInteger="1" minValue="0" maxValue="69"/>
    </cacheField>
    <cacheField name="Ratings" numFmtId="0">
      <sharedItems containsString="0" containsBlank="1" containsNumber="1" minValue="0" maxValue="5"/>
    </cacheField>
    <cacheField name="Rating category" numFmtId="0">
      <sharedItems containsBlank="1" count="4">
        <s v="Excellent"/>
        <s v="Average"/>
        <s v="Poor"/>
        <m/>
      </sharedItems>
    </cacheField>
    <cacheField name="Discount Category" numFmtId="0">
      <sharedItems containsBlank="1" count="4">
        <s v="Medium Discount"/>
        <s v="High Discount"/>
        <s v="Low Dsicount"/>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ah Wangila" refreshedDate="46139.740568981484" createdVersion="7" refreshedVersion="7" minRefreshableVersion="3" recordCount="113" xr:uid="{9C28E2EA-E84F-461E-B51F-235E75048608}">
  <cacheSource type="worksheet">
    <worksheetSource ref="B1:J114" sheet="Excel_jumia"/>
  </cacheSource>
  <cacheFields count="9">
    <cacheField name="Product" numFmtId="0">
      <sharedItems count="110">
        <s v="LASA Aluminum Folding Truck Hand Cart - 68kg Max"/>
        <s v="Classic Black Cat Cotton Hemp Pillow Case For Home Car"/>
        <s v="Anti-Skid Absorbent Insulation Coaster  For Home Office"/>
        <s v="Peacock  Throw Pillow Cushion Case For Home Car"/>
        <s v="Bedroom Simple Floor Hanging Clothes Rack Single Pole Hat Rack - White"/>
        <s v="DIY File Folder, Office Drawer File Holder, Pen Holder, Desktop Storage Rack"/>
        <s v="Konka Healty Electric Kettle, 24-hour Heat Preservation,1.5L,800W, White"/>
        <s v="40cm Gold DIY Acrylic Wall Sticker Clock"/>
        <s v="LASA FOLDING TABLE SERVING STAND"/>
        <s v="Portable Home Small Air Humidifier 3-Speed Fan - Green"/>
        <s v="100 Pcs Crochet Hook Tool Set Knitting Hook Set With Box"/>
        <s v="53Pcs/Set Yarn Knitting Crochet Hooks With Bag - Fortune Cat"/>
        <s v="12 Litre Insulated Lunch Box Grey"/>
        <s v="Weighing Scale Digital Bathroom Body Fat Scale USB-Black"/>
        <s v="137 Pieces Cake Decorating Tool Set Baking Supplies"/>
        <s v="Electronic Digital Display Vernier Caliper"/>
        <s v="3D Waterproof EVA Plastic Shower Curtain 1.8*2Mtrs"/>
        <s v="Portable Mini Cordless Car Vacuum Cleaner - Blue"/>
        <s v="LED Wall Digital Alarm Clock Study Home 12 / 24H Clock Calendar"/>
        <s v="53 Pieces/Set Yarn Knitting Crochet Hooks With Bag - Pansies"/>
        <s v="LASA Digital Thermometer And Hydrometer"/>
        <s v="115  Piece Set Of Multifunctional Precision Screwdrivers"/>
        <s v="1/2/3 Seater Elastic Sofa Cover,Living Room/Home Decor Chair Cover-Grey A"/>
        <s v="1/2/3 Seater Elastic Sofa Cover,Living Room/Home Decor Chair Cover-Grey "/>
        <s v="Foldable Overbed Table/Desk"/>
        <s v="Punch-free Great Load Bearing Bathroom Storage Rack Wall Shelf-White"/>
        <s v="Exfoliate And Exfoliate Face Towel - Black"/>
        <s v="LED Eye Protection  Desk Lamp , Study, Reading, USB Fan - Double Pen Holder"/>
        <s v="LASA 3 Tier Bamboo Shoe Bench Storage Shelf"/>
        <s v="Multifunction Laser Level With Adjustment Tripod"/>
        <s v="52 Pieces Cake Decorating Tool Set Gift Kit Baking Supplies"/>
        <s v="Metal Decorative Hooks Key Hangers Entryway Wall Hooks Towel Hooks - Home"/>
        <s v="Genebre 115 In 1 Screwdriver Repairing Tool Set For IPhone Cellphone Hand Tool"/>
        <s v="220V 60W Electric Soldering Iron Kits With Tools, Tips, And Multimeter"/>
        <s v="LED Romantic Spaceship Starry Sky Projector,Children's Bedroom Night Light-Blue"/>
        <s v="Desk Foldable Fan Adjustable Fan Strong Wind 3 Gear Usb"/>
        <s v="Household Pineapple Peeler Peeler"/>
        <s v="12 Litre Black Insulated Lunch Box"/>
        <s v="Portable Wardrobe Nonwoven With 3 Hanging Rods And 6 Storage Shelves"/>
        <s v="13 In 1 Home Repair Tools Box Kit Set"/>
        <s v="3PCS Single Head Knitting Crochet Sweater Needle Set"/>
        <s v="Mythco 120COB Solar Wall Ligt With Motion Sensor And Remote Control 3 Modes"/>
        <s v="Wrought Iron Bathroom Shelf Wall Mounted Free Punch Toilet Rack"/>
        <s v="32PCS Portable Cordless Drill Set With Cyclic Battery Drive -26 Variable Speed"/>
        <s v="Large Lazy Inflatable Sofa Chairs PVC Lounger Seat Bag"/>
        <s v="Memory Foam Neck Pillow Cover, With Pillow Core -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7-piece Set Of Storage Bags, Travel Storage Bags, Shoe Bags"/>
        <s v="Artificial Potted Flowers Room Decorative Flowers (2 Pieces)"/>
        <s v="5-PCS Stainless Steel Cooking Pot Set With Steamed Slices"/>
        <s v="Electric LED UV Mosquito Killer Lamp, Outdoor/Indoor Fly Killer Trap Light -USB"/>
        <s v="Wall-mounted Sticker Punch-free Plug Fixer"/>
        <s v="6 In 1 Bottle Can Opener Multifunctional Easy Opener"/>
        <s v="Creative Owl Shape Keychain Black"/>
        <s v="Simple Metal Dog Art Sculpture Decoration For Home Office"/>
        <s v="Modern Sofa Throw Pillow Cover-45x45cm-Blue&amp;Red"/>
        <s v="Christmas Elk Fence Yard Lawn Decorations Cute For Holidays"/>
        <s v="Brush &amp; Paintbrush Cleaning Tool Pink"/>
        <s v="Wall Clock With Hidden Safe Box"/>
        <s v="2PCS Ice Silk Square Cushion Cover Pillowcases - 65x65cm"/>
        <s v="4M Float Switch Water Level Controller -Water Tank"/>
        <s v="Car Phone Charging Stand"/>
        <s v="Angle Measuring Tool Full Metal Multi Angle Measuring Tool"/>
        <s v="7PCS Silicone Thumb Knife Finger Protector Vegetable Harvesting Knife"/>
        <s v="Cartoon Car Decoration Cute Individuality For Car Home Desk"/>
        <s v="4 Piece Coloured Stainless Steel Kitchenware Set"/>
        <s v="Baby Early Education Shape And Color Cognitive Training Toys"/>
        <s v="Christmas Fence Garden Decorations Outdoor For Holiday Home"/>
        <s v="Portable Wine Table With Folding Round Table"/>
        <s v="Sewing Machine Needle Threader Stitch Insertion Tool Automatic Quick Sewing"/>
        <s v="2PCS/LOT Solar LED Outdoor Intelligent Light Controlled Wall Lamp"/>
        <s v="6 Layers Steel Pipe Assembling Dustproof Storage Shoe Cabinet"/>
        <s v="Black Simple Water Cup Wine Coaster Anti Slip Absorbent"/>
        <s v="MultiFunctional Storage Rack Multi-layer Bookshelf"/>
        <s v="3PCS Rotary Scraper Thermomix For Kitchen"/>
        <s v="Multifunctional Hanging Storage Box Storage Bag (4 Layers)"/>
        <s v="4pcs Bathroom/Kitchen Towel Rack,Roll Paper Holder,Towel Bars,Hook"/>
        <s v="Balloon Insert, Birthday Party Balloon Set, PU Leather"/>
        <s v="8in1 Screwdriver With LED Light"/>
        <s v="Cute Christmas Fence Garden Decorations For Holiday Home"/>
        <s v="9pcs Gas Mask, For Painting, Dust, Formaldehyde Grinding, Polishing"/>
        <s v="LASA Stainless Steel Double Wall Mount Soap Dispenser - 500ml"/>
        <s v="2pcs Solar Street Light Flood Light Outdoor"/>
        <s v="5m Waterproof Spherical LED String Lights Outdoor Ball Chain Lights Party Lighting Decoration Adjustable"/>
        <s v="LED Solar Street Light-fake Camera"/>
        <s v="Cartoon Embroidered Mini Towel Bear Cotton Wash Cloth Hand 4pcs"/>
        <s v="60W Hot Melt Glue Sprayer - Efficient And Stable Glue Dispensing"/>
        <s v="12V 19500rpm Handheld Electric Angle Grinder Tool - UK - Yellow/Black"/>
        <s v="1PC Refrigerator Food Seal Pocket Fridge Bags"/>
        <s v="Pilates Cloth Bag Waterproof Durable High Capacity Purple"/>
        <s v="Office Chair Lumbar Back Support Spine Posture Correction Pillow Car Cushion"/>
        <s v="Wall-Mounted Toothbrush Toothpaste Holder With Multiple Slots"/>
        <s v="Outdoor Portable Water Bottle With Medicine Box - 600ML - Black"/>
        <s v="Wall Mount Automatic Toothpaste Dispenser Toothbrush Holder Toothpaste Squeezer"/>
        <s v="Cushion Silicone Butt Cushion Summer Ice Cushion Honeycomb Gel Cushion"/>
        <s v="Metal Wall Clock Silver Dial Crystal Jewelry Round Home Decoration Wall Clock"/>
        <s v="Multi-purpose Rice Drainage Basket And Fruit And Vegetable Drainage Sieve"/>
        <s v="Shower Cap Wide Elastic Band Cover Reusable Bashroom Cap"/>
        <s v="Pen Grips For Kids Pen Grip Posture Correction Tool For Kids"/>
        <s v="2 Pairs Cowhide Split Leather Work Gloves.32â„‰ Or Above Welding Gloves"/>
        <s v="Portable Soap Dispenser Kitchen Detergent Press Box Kitchen Tools"/>
        <s v="Shower Nozzle Cleaning Unclogging Needle Mini Crevice Small Hole Cleaning Brush"/>
        <s v="Thickening Multipurpose Non Stick Easy To Clean Heat Resistant Spoon Pad"/>
        <s v="24 Grid Wall-mounted Sundries Organiser Fabric Closet Bag Storage Rack"/>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Amount" numFmtId="3">
      <sharedItems containsSemiMixedTypes="0" containsString="0" containsNumber="1" containsInteger="1" minValue="24" maxValue="2585"/>
    </cacheField>
    <cacheField name="Discount Percentage" numFmtId="9">
      <sharedItems containsSemiMixedTypes="0" containsString="0" containsNumber="1" minValue="0.01" maxValue="0.64"/>
    </cacheField>
    <cacheField name="Review" numFmtId="0">
      <sharedItems containsSemiMixedTypes="0" containsString="0" containsNumber="1" containsInteger="1" minValue="0" maxValue="69"/>
    </cacheField>
    <cacheField name="Ratings" numFmtId="0">
      <sharedItems containsSemiMixedTypes="0" containsString="0" containsNumber="1" minValue="0" maxValue="5"/>
    </cacheField>
    <cacheField name="Rating category" numFmtId="0">
      <sharedItems count="3">
        <s v="Excellent"/>
        <s v="Average"/>
        <s v="Poor"/>
      </sharedItems>
    </cacheField>
    <cacheField name="Discount Category" numFmtId="0">
      <sharedItems count="3">
        <s v="High Discount"/>
        <s v="Medium Discount"/>
        <s v="Low Dsicount"/>
      </sharedItems>
    </cacheField>
  </cacheFields>
  <extLst>
    <ext xmlns:x14="http://schemas.microsoft.com/office/spreadsheetml/2009/9/main" uri="{725AE2AE-9491-48be-B2B4-4EB974FC3084}">
      <x14:pivotCacheDefinition pivotCacheId="7965771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ah Wangila" refreshedDate="46182.914817013887" createdVersion="7" refreshedVersion="7" minRefreshableVersion="3" recordCount="113" xr:uid="{FAC7B832-D5E1-4983-9783-6EEA3D5B4519}">
  <cacheSource type="worksheet">
    <worksheetSource ref="A1:J114" sheet="Excel_jumia"/>
  </cacheSource>
  <cacheFields count="10">
    <cacheField name="Product ID" numFmtId="0">
      <sharedItems containsSemiMixedTypes="0" containsString="0" containsNumber="1" containsInteger="1" minValue="1" maxValue="113"/>
    </cacheField>
    <cacheField name="Product" numFmtId="0">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Amount" numFmtId="3">
      <sharedItems containsSemiMixedTypes="0" containsString="0" containsNumber="1" containsInteger="1" minValue="24" maxValue="2585"/>
    </cacheField>
    <cacheField name="Discount Percentage" numFmtId="9">
      <sharedItems containsSemiMixedTypes="0" containsString="0" containsNumber="1" minValue="0.01" maxValue="0.64"/>
    </cacheField>
    <cacheField name="Reviews" numFmtId="0">
      <sharedItems containsSemiMixedTypes="0" containsString="0" containsNumber="1" containsInteger="1" minValue="0" maxValue="69"/>
    </cacheField>
    <cacheField name="Ratings" numFmtId="0">
      <sharedItems containsSemiMixedTypes="0" containsString="0" containsNumber="1" minValue="0" maxValue="5"/>
    </cacheField>
    <cacheField name="Rating category" numFmtId="0">
      <sharedItems/>
    </cacheField>
    <cacheField name="Discount Category" numFmtId="0">
      <sharedItems count="3">
        <s v="High Discount"/>
        <s v="Medium Discount"/>
        <s v="Low Dsicou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n v="950"/>
    <n v="1525"/>
    <n v="575"/>
    <n v="0.38"/>
    <n v="2"/>
    <n v="4.5"/>
    <x v="0"/>
    <x v="0"/>
  </r>
  <r>
    <x v="1"/>
    <n v="527"/>
    <n v="999"/>
    <n v="472"/>
    <n v="0.47"/>
    <n v="14"/>
    <n v="4.0999999999999996"/>
    <x v="1"/>
    <x v="1"/>
  </r>
  <r>
    <x v="2"/>
    <n v="2199"/>
    <n v="2923"/>
    <n v="724"/>
    <n v="0.25"/>
    <n v="24"/>
    <n v="4.5999999999999996"/>
    <x v="0"/>
    <x v="0"/>
  </r>
  <r>
    <x v="3"/>
    <n v="1580"/>
    <n v="2499"/>
    <n v="919"/>
    <n v="0.37"/>
    <n v="7"/>
    <n v="4.7"/>
    <x v="0"/>
    <x v="0"/>
  </r>
  <r>
    <x v="4"/>
    <n v="1740"/>
    <n v="2356"/>
    <n v="616"/>
    <n v="0.26"/>
    <n v="5"/>
    <n v="4.8"/>
    <x v="0"/>
    <x v="0"/>
  </r>
  <r>
    <x v="5"/>
    <n v="2999"/>
    <n v="3290"/>
    <n v="291"/>
    <n v="0.09"/>
    <n v="15"/>
    <n v="4"/>
    <x v="1"/>
    <x v="2"/>
  </r>
  <r>
    <x v="6"/>
    <n v="2319"/>
    <n v="3032"/>
    <n v="713"/>
    <n v="0.24"/>
    <n v="55"/>
    <n v="4.5999999999999996"/>
    <x v="0"/>
    <x v="0"/>
  </r>
  <r>
    <x v="7"/>
    <n v="988"/>
    <n v="1580"/>
    <n v="592"/>
    <n v="0.37"/>
    <n v="2"/>
    <n v="4"/>
    <x v="1"/>
    <x v="0"/>
  </r>
  <r>
    <x v="8"/>
    <n v="1274"/>
    <n v="2800"/>
    <n v="1526"/>
    <n v="0.55000000000000004"/>
    <n v="5"/>
    <n v="4.8"/>
    <x v="0"/>
    <x v="1"/>
  </r>
  <r>
    <x v="9"/>
    <n v="1600"/>
    <n v="2929"/>
    <n v="1329"/>
    <n v="0.45"/>
    <n v="5"/>
    <n v="3.8"/>
    <x v="1"/>
    <x v="1"/>
  </r>
  <r>
    <x v="10"/>
    <n v="799"/>
    <n v="999"/>
    <n v="200"/>
    <n v="0.2"/>
    <n v="12"/>
    <n v="4.0999999999999996"/>
    <x v="1"/>
    <x v="0"/>
  </r>
  <r>
    <x v="11"/>
    <n v="990"/>
    <n v="1500"/>
    <n v="510"/>
    <n v="0.34"/>
    <n v="39"/>
    <n v="4.7"/>
    <x v="0"/>
    <x v="0"/>
  </r>
  <r>
    <x v="12"/>
    <n v="552"/>
    <n v="1035"/>
    <n v="483"/>
    <n v="0.47"/>
    <n v="12"/>
    <n v="4.8"/>
    <x v="0"/>
    <x v="1"/>
  </r>
  <r>
    <x v="13"/>
    <n v="501"/>
    <n v="860"/>
    <n v="359"/>
    <n v="0.42"/>
    <n v="6"/>
    <n v="4.5"/>
    <x v="0"/>
    <x v="1"/>
  </r>
  <r>
    <x v="14"/>
    <n v="1680"/>
    <n v="2499"/>
    <n v="819"/>
    <n v="0.33"/>
    <n v="9"/>
    <n v="4.2"/>
    <x v="1"/>
    <x v="0"/>
  </r>
  <r>
    <x v="15"/>
    <n v="332"/>
    <n v="684"/>
    <n v="352"/>
    <n v="0.51"/>
    <n v="2"/>
    <n v="5"/>
    <x v="0"/>
    <x v="1"/>
  </r>
  <r>
    <x v="16"/>
    <n v="195"/>
    <n v="360"/>
    <n v="165"/>
    <n v="0.46"/>
    <n v="2"/>
    <n v="5"/>
    <x v="0"/>
    <x v="1"/>
  </r>
  <r>
    <x v="17"/>
    <n v="2025"/>
    <n v="3971"/>
    <n v="1946"/>
    <n v="0.49"/>
    <n v="3"/>
    <n v="5"/>
    <x v="0"/>
    <x v="1"/>
  </r>
  <r>
    <x v="18"/>
    <n v="2999"/>
    <n v="3699"/>
    <n v="700"/>
    <n v="0.19"/>
    <n v="5"/>
    <n v="4.5999999999999996"/>
    <x v="0"/>
    <x v="2"/>
  </r>
  <r>
    <x v="19"/>
    <n v="998"/>
    <n v="1966"/>
    <n v="968"/>
    <n v="0.49"/>
    <n v="44"/>
    <n v="4.5999999999999996"/>
    <x v="0"/>
    <x v="1"/>
  </r>
  <r>
    <x v="20"/>
    <n v="38"/>
    <n v="80"/>
    <n v="42"/>
    <n v="0.53"/>
    <n v="13"/>
    <n v="3.3"/>
    <x v="1"/>
    <x v="1"/>
  </r>
  <r>
    <x v="21"/>
    <n v="1860"/>
    <n v="3220"/>
    <n v="1360"/>
    <n v="0.42"/>
    <n v="0"/>
    <n v="0"/>
    <x v="2"/>
    <x v="1"/>
  </r>
  <r>
    <x v="22"/>
    <n v="880"/>
    <n v="1350"/>
    <n v="470"/>
    <n v="0.35"/>
    <n v="6"/>
    <n v="4"/>
    <x v="1"/>
    <x v="0"/>
  </r>
  <r>
    <x v="23"/>
    <n v="1650"/>
    <n v="2150"/>
    <n v="500"/>
    <n v="0.23"/>
    <n v="14"/>
    <n v="4.4000000000000004"/>
    <x v="1"/>
    <x v="0"/>
  </r>
  <r>
    <x v="24"/>
    <n v="2048"/>
    <n v="4500"/>
    <n v="2452"/>
    <n v="0.54"/>
    <n v="7"/>
    <n v="4.3"/>
    <x v="1"/>
    <x v="1"/>
  </r>
  <r>
    <x v="25"/>
    <n v="420"/>
    <n v="647"/>
    <n v="227"/>
    <n v="0.35"/>
    <n v="49"/>
    <n v="4.5999999999999996"/>
    <x v="0"/>
    <x v="0"/>
  </r>
  <r>
    <x v="26"/>
    <n v="2880"/>
    <n v="3520"/>
    <n v="640"/>
    <n v="0.18"/>
    <n v="12"/>
    <n v="3.8"/>
    <x v="1"/>
    <x v="2"/>
  </r>
  <r>
    <x v="27"/>
    <n v="1350"/>
    <n v="1990"/>
    <n v="640"/>
    <n v="0.32"/>
    <n v="13"/>
    <n v="3.8"/>
    <x v="1"/>
    <x v="0"/>
  </r>
  <r>
    <x v="28"/>
    <n v="1758"/>
    <n v="2499"/>
    <n v="741"/>
    <n v="0.3"/>
    <n v="20"/>
    <n v="4.0999999999999996"/>
    <x v="1"/>
    <x v="0"/>
  </r>
  <r>
    <x v="29"/>
    <n v="2200"/>
    <n v="4080"/>
    <n v="1880"/>
    <n v="0.46"/>
    <n v="0"/>
    <n v="0"/>
    <x v="2"/>
    <x v="1"/>
  </r>
  <r>
    <x v="30"/>
    <n v="185"/>
    <n v="382"/>
    <n v="197"/>
    <n v="0.52"/>
    <n v="9"/>
    <n v="4.3"/>
    <x v="1"/>
    <x v="1"/>
  </r>
  <r>
    <x v="31"/>
    <n v="980"/>
    <n v="1490"/>
    <n v="510"/>
    <n v="0.34"/>
    <n v="12"/>
    <n v="4.7"/>
    <x v="0"/>
    <x v="0"/>
  </r>
  <r>
    <x v="32"/>
    <n v="1820"/>
    <n v="3490"/>
    <n v="1670"/>
    <n v="0.48"/>
    <n v="9"/>
    <n v="4.3"/>
    <x v="1"/>
    <x v="1"/>
  </r>
  <r>
    <x v="33"/>
    <n v="1940"/>
    <n v="2650"/>
    <n v="710"/>
    <n v="0.27"/>
    <n v="20"/>
    <n v="4.7"/>
    <x v="0"/>
    <x v="0"/>
  </r>
  <r>
    <x v="34"/>
    <n v="1980"/>
    <n v="2699"/>
    <n v="719"/>
    <n v="0.27"/>
    <n v="32"/>
    <n v="4.5"/>
    <x v="0"/>
    <x v="0"/>
  </r>
  <r>
    <x v="35"/>
    <n v="1620"/>
    <n v="2690"/>
    <n v="1070"/>
    <n v="0.4"/>
    <n v="1"/>
    <n v="5"/>
    <x v="0"/>
    <x v="1"/>
  </r>
  <r>
    <x v="36"/>
    <n v="171"/>
    <n v="360"/>
    <n v="189"/>
    <n v="0.53"/>
    <n v="2"/>
    <n v="5"/>
    <x v="0"/>
    <x v="1"/>
  </r>
  <r>
    <x v="37"/>
    <n v="389"/>
    <n v="656"/>
    <n v="267"/>
    <n v="0.41"/>
    <n v="36"/>
    <n v="4.3"/>
    <x v="1"/>
    <x v="1"/>
  </r>
  <r>
    <x v="38"/>
    <n v="1620"/>
    <n v="2200"/>
    <n v="580"/>
    <n v="0.38"/>
    <n v="2"/>
    <n v="4.5"/>
    <x v="0"/>
    <x v="0"/>
  </r>
  <r>
    <x v="39"/>
    <n v="1980"/>
    <n v="3200"/>
    <n v="1220"/>
    <n v="0.38"/>
    <n v="2"/>
    <n v="4.5"/>
    <x v="0"/>
    <x v="0"/>
  </r>
  <r>
    <x v="40"/>
    <n v="2750"/>
    <n v="4471"/>
    <n v="1721"/>
    <n v="0.38"/>
    <n v="0"/>
    <n v="0"/>
    <x v="2"/>
    <x v="0"/>
  </r>
  <r>
    <x v="41"/>
    <n v="475"/>
    <n v="931"/>
    <n v="456"/>
    <n v="0.49"/>
    <n v="0"/>
    <n v="0"/>
    <x v="2"/>
    <x v="1"/>
  </r>
  <r>
    <x v="42"/>
    <n v="238"/>
    <n v="476"/>
    <n v="238"/>
    <n v="0.5"/>
    <n v="0"/>
    <n v="0"/>
    <x v="2"/>
    <x v="1"/>
  </r>
  <r>
    <x v="43"/>
    <n v="610"/>
    <n v="1060"/>
    <n v="450"/>
    <n v="0.42"/>
    <n v="0"/>
    <n v="0"/>
    <x v="2"/>
    <x v="1"/>
  </r>
  <r>
    <x v="44"/>
    <n v="2132"/>
    <n v="2169"/>
    <n v="37"/>
    <n v="0.02"/>
    <n v="0"/>
    <n v="0"/>
    <x v="2"/>
    <x v="2"/>
  </r>
  <r>
    <x v="45"/>
    <n v="999"/>
    <n v="2000"/>
    <n v="1001"/>
    <n v="0.5"/>
    <n v="0"/>
    <n v="0"/>
    <x v="2"/>
    <x v="1"/>
  </r>
  <r>
    <x v="46"/>
    <n v="1190"/>
    <n v="1785"/>
    <n v="595"/>
    <n v="0.33"/>
    <n v="0"/>
    <n v="0"/>
    <x v="2"/>
    <x v="0"/>
  </r>
  <r>
    <x v="47"/>
    <n v="671"/>
    <n v="1316"/>
    <n v="645"/>
    <n v="0.49"/>
    <n v="0"/>
    <n v="0"/>
    <x v="2"/>
    <x v="1"/>
  </r>
  <r>
    <x v="48"/>
    <n v="1200"/>
    <n v="1950"/>
    <n v="750"/>
    <n v="0.38"/>
    <n v="0"/>
    <n v="0"/>
    <x v="2"/>
    <x v="0"/>
  </r>
  <r>
    <x v="49"/>
    <n v="199"/>
    <n v="504"/>
    <n v="305"/>
    <n v="0.61"/>
    <n v="0"/>
    <n v="0"/>
    <x v="2"/>
    <x v="1"/>
  </r>
  <r>
    <x v="50"/>
    <n v="299"/>
    <n v="600"/>
    <n v="301"/>
    <n v="0.5"/>
    <n v="0"/>
    <n v="0"/>
    <x v="2"/>
    <x v="1"/>
  </r>
  <r>
    <x v="51"/>
    <n v="1660"/>
    <n v="1699"/>
    <n v="39"/>
    <n v="0.02"/>
    <n v="0"/>
    <n v="0"/>
    <x v="2"/>
    <x v="2"/>
  </r>
  <r>
    <x v="52"/>
    <n v="299"/>
    <n v="384"/>
    <n v="85"/>
    <n v="0.22"/>
    <n v="0"/>
    <n v="0"/>
    <x v="2"/>
    <x v="0"/>
  </r>
  <r>
    <x v="53"/>
    <n v="1459"/>
    <n v="1499"/>
    <n v="40"/>
    <n v="0.03"/>
    <n v="0"/>
    <n v="0"/>
    <x v="2"/>
    <x v="2"/>
  </r>
  <r>
    <x v="54"/>
    <n v="799"/>
    <n v="1343"/>
    <n v="544"/>
    <n v="0.41"/>
    <n v="0"/>
    <n v="0"/>
    <x v="2"/>
    <x v="1"/>
  </r>
  <r>
    <x v="55"/>
    <n v="499"/>
    <n v="900"/>
    <n v="401"/>
    <n v="0.45"/>
    <n v="0"/>
    <n v="0"/>
    <x v="2"/>
    <x v="1"/>
  </r>
  <r>
    <x v="56"/>
    <n v="699"/>
    <n v="1343"/>
    <n v="644"/>
    <n v="0.48"/>
    <n v="0"/>
    <n v="0"/>
    <x v="2"/>
    <x v="1"/>
  </r>
  <r>
    <x v="57"/>
    <n v="799"/>
    <n v="1567"/>
    <n v="768"/>
    <n v="0.49"/>
    <n v="0"/>
    <n v="0"/>
    <x v="2"/>
    <x v="1"/>
  </r>
  <r>
    <x v="58"/>
    <n v="2799"/>
    <n v="3810"/>
    <n v="1011"/>
    <n v="0.27"/>
    <n v="0"/>
    <n v="0"/>
    <x v="2"/>
    <x v="0"/>
  </r>
  <r>
    <x v="55"/>
    <n v="399"/>
    <n v="896"/>
    <n v="497"/>
    <n v="0.55000000000000004"/>
    <n v="0"/>
    <n v="0"/>
    <x v="2"/>
    <x v="1"/>
  </r>
  <r>
    <x v="59"/>
    <n v="2170"/>
    <n v="2500"/>
    <n v="330"/>
    <n v="0.13"/>
    <n v="6"/>
    <n v="2.5"/>
    <x v="2"/>
    <x v="2"/>
  </r>
  <r>
    <x v="60"/>
    <n v="458"/>
    <n v="986"/>
    <n v="528"/>
    <n v="0.54"/>
    <n v="10"/>
    <n v="3"/>
    <x v="1"/>
    <x v="1"/>
  </r>
  <r>
    <x v="61"/>
    <n v="2115"/>
    <n v="4700"/>
    <n v="2585"/>
    <n v="0.55000000000000004"/>
    <n v="13"/>
    <n v="2.1"/>
    <x v="2"/>
    <x v="1"/>
  </r>
  <r>
    <x v="62"/>
    <n v="445"/>
    <n v="873"/>
    <n v="428"/>
    <n v="0.49"/>
    <n v="69"/>
    <n v="2.8"/>
    <x v="2"/>
    <x v="1"/>
  </r>
  <r>
    <x v="63"/>
    <n v="325"/>
    <n v="680"/>
    <n v="355"/>
    <n v="0.52"/>
    <n v="15"/>
    <n v="2.7"/>
    <x v="2"/>
    <x v="1"/>
  </r>
  <r>
    <x v="64"/>
    <n v="1220"/>
    <n v="1555"/>
    <n v="335"/>
    <n v="0.22"/>
    <n v="16"/>
    <n v="2.9"/>
    <x v="2"/>
    <x v="0"/>
  </r>
  <r>
    <x v="65"/>
    <n v="990"/>
    <n v="1814"/>
    <n v="824"/>
    <n v="0.45"/>
    <n v="6"/>
    <n v="2.2000000000000002"/>
    <x v="2"/>
    <x v="1"/>
  </r>
  <r>
    <x v="66"/>
    <n v="1000"/>
    <n v="2000"/>
    <n v="1000"/>
    <n v="0.5"/>
    <n v="7"/>
    <n v="2.2999999999999998"/>
    <x v="2"/>
    <x v="1"/>
  </r>
  <r>
    <x v="67"/>
    <n v="3750"/>
    <n v="6143"/>
    <n v="2393"/>
    <n v="0.39"/>
    <n v="5"/>
    <n v="3"/>
    <x v="1"/>
    <x v="0"/>
  </r>
  <r>
    <x v="68"/>
    <n v="382"/>
    <n v="700"/>
    <n v="318"/>
    <n v="0.45"/>
    <n v="17"/>
    <n v="2.6"/>
    <x v="2"/>
    <x v="1"/>
  </r>
  <r>
    <x v="69"/>
    <n v="2300"/>
    <n v="3240"/>
    <n v="940"/>
    <n v="0.28999999999999998"/>
    <n v="5"/>
    <n v="3"/>
    <x v="1"/>
    <x v="0"/>
  </r>
  <r>
    <x v="70"/>
    <n v="345"/>
    <n v="602"/>
    <n v="257"/>
    <n v="0.43"/>
    <n v="6"/>
    <n v="2.2999999999999998"/>
    <x v="2"/>
    <x v="1"/>
  </r>
  <r>
    <x v="71"/>
    <n v="509"/>
    <n v="899"/>
    <n v="390"/>
    <n v="0.43"/>
    <n v="5"/>
    <n v="3"/>
    <x v="1"/>
    <x v="1"/>
  </r>
  <r>
    <x v="72"/>
    <n v="968"/>
    <n v="1814"/>
    <n v="846"/>
    <n v="0.47"/>
    <n v="6"/>
    <n v="2.2000000000000002"/>
    <x v="2"/>
    <x v="1"/>
  </r>
  <r>
    <x v="73"/>
    <n v="1570"/>
    <n v="2988"/>
    <n v="1418"/>
    <n v="0.47"/>
    <n v="7"/>
    <n v="2.1"/>
    <x v="2"/>
    <x v="1"/>
  </r>
  <r>
    <x v="74"/>
    <n v="790"/>
    <n v="1485"/>
    <n v="695"/>
    <n v="0.47"/>
    <n v="0"/>
    <n v="0"/>
    <x v="2"/>
    <x v="1"/>
  </r>
  <r>
    <x v="75"/>
    <n v="690"/>
    <n v="1200"/>
    <n v="510"/>
    <n v="0.43"/>
    <n v="0"/>
    <n v="0"/>
    <x v="2"/>
    <x v="1"/>
  </r>
  <r>
    <x v="76"/>
    <n v="1732"/>
    <n v="1799"/>
    <n v="67"/>
    <n v="0.04"/>
    <n v="0"/>
    <n v="0"/>
    <x v="2"/>
    <x v="2"/>
  </r>
  <r>
    <x v="77"/>
    <n v="230"/>
    <n v="450"/>
    <n v="220"/>
    <n v="0.49"/>
    <n v="0"/>
    <n v="0"/>
    <x v="2"/>
    <x v="1"/>
  </r>
  <r>
    <x v="78"/>
    <n v="1189"/>
    <n v="2199"/>
    <n v="1010"/>
    <n v="0.46"/>
    <n v="1"/>
    <n v="3"/>
    <x v="1"/>
    <x v="1"/>
  </r>
  <r>
    <x v="79"/>
    <n v="979"/>
    <n v="1920"/>
    <n v="941"/>
    <n v="0.49"/>
    <n v="1"/>
    <n v="5"/>
    <x v="0"/>
    <x v="1"/>
  </r>
  <r>
    <x v="80"/>
    <n v="1460"/>
    <n v="2290"/>
    <n v="830"/>
    <n v="0.36"/>
    <n v="0"/>
    <n v="0"/>
    <x v="2"/>
    <x v="0"/>
  </r>
  <r>
    <x v="81"/>
    <n v="1666"/>
    <n v="1699"/>
    <n v="33"/>
    <n v="0.02"/>
    <n v="0"/>
    <n v="0"/>
    <x v="2"/>
    <x v="2"/>
  </r>
  <r>
    <x v="82"/>
    <n v="330"/>
    <n v="647"/>
    <n v="317"/>
    <n v="0.49"/>
    <n v="1"/>
    <n v="4"/>
    <x v="1"/>
    <x v="1"/>
  </r>
  <r>
    <x v="49"/>
    <n v="176"/>
    <n v="345"/>
    <n v="169"/>
    <n v="0.49"/>
    <n v="0"/>
    <n v="0"/>
    <x v="2"/>
    <x v="1"/>
  </r>
  <r>
    <x v="83"/>
    <n v="1466"/>
    <n v="1699"/>
    <n v="233"/>
    <n v="0.14000000000000001"/>
    <n v="0"/>
    <n v="0"/>
    <x v="2"/>
    <x v="2"/>
  </r>
  <r>
    <x v="84"/>
    <n v="274"/>
    <n v="537"/>
    <n v="263"/>
    <n v="0.49"/>
    <n v="0"/>
    <n v="0"/>
    <x v="2"/>
    <x v="1"/>
  </r>
  <r>
    <x v="85"/>
    <n v="799"/>
    <n v="900"/>
    <n v="101"/>
    <n v="0.11"/>
    <n v="0"/>
    <n v="0"/>
    <x v="2"/>
    <x v="2"/>
  </r>
  <r>
    <x v="57"/>
    <n v="657"/>
    <n v="1288"/>
    <n v="631"/>
    <n v="0.49"/>
    <n v="0"/>
    <n v="0"/>
    <x v="2"/>
    <x v="1"/>
  </r>
  <r>
    <x v="86"/>
    <n v="1468"/>
    <n v="1699"/>
    <n v="231"/>
    <n v="0.14000000000000001"/>
    <n v="0"/>
    <n v="0"/>
    <x v="2"/>
    <x v="2"/>
  </r>
  <r>
    <x v="87"/>
    <n v="630"/>
    <n v="1100"/>
    <n v="470"/>
    <n v="0.43"/>
    <n v="0"/>
    <n v="0"/>
    <x v="2"/>
    <x v="1"/>
  </r>
  <r>
    <x v="88"/>
    <n v="850"/>
    <n v="1700"/>
    <n v="850"/>
    <n v="0.5"/>
    <n v="0"/>
    <n v="0"/>
    <x v="2"/>
    <x v="1"/>
  </r>
  <r>
    <x v="89"/>
    <n v="1300"/>
    <n v="2500"/>
    <n v="1200"/>
    <n v="0.48"/>
    <n v="0"/>
    <n v="0"/>
    <x v="2"/>
    <x v="1"/>
  </r>
  <r>
    <x v="90"/>
    <n v="105"/>
    <n v="200"/>
    <n v="95"/>
    <n v="0.48"/>
    <n v="0"/>
    <n v="0"/>
    <x v="2"/>
    <x v="1"/>
  </r>
  <r>
    <x v="91"/>
    <n v="899"/>
    <n v="1699"/>
    <n v="800"/>
    <n v="0.47"/>
    <n v="0"/>
    <n v="0"/>
    <x v="2"/>
    <x v="1"/>
  </r>
  <r>
    <x v="92"/>
    <n v="1200"/>
    <n v="2400"/>
    <n v="1200"/>
    <n v="0.5"/>
    <n v="0"/>
    <n v="0"/>
    <x v="2"/>
    <x v="1"/>
  </r>
  <r>
    <x v="93"/>
    <n v="1526"/>
    <n v="1660"/>
    <n v="134"/>
    <n v="0.08"/>
    <n v="0"/>
    <n v="0"/>
    <x v="2"/>
    <x v="2"/>
  </r>
  <r>
    <x v="94"/>
    <n v="1462"/>
    <n v="1499"/>
    <n v="37"/>
    <n v="0.02"/>
    <n v="0"/>
    <n v="0"/>
    <x v="2"/>
    <x v="2"/>
  </r>
  <r>
    <x v="95"/>
    <n v="248"/>
    <n v="486"/>
    <n v="238"/>
    <n v="0.49"/>
    <n v="0"/>
    <n v="0"/>
    <x v="2"/>
    <x v="1"/>
  </r>
  <r>
    <x v="96"/>
    <n v="3546"/>
    <n v="3699"/>
    <n v="153"/>
    <n v="0.04"/>
    <n v="0"/>
    <n v="0"/>
    <x v="2"/>
    <x v="2"/>
  </r>
  <r>
    <x v="97"/>
    <n v="525"/>
    <n v="1029"/>
    <n v="504"/>
    <n v="0.49"/>
    <n v="0"/>
    <n v="0"/>
    <x v="2"/>
    <x v="1"/>
  </r>
  <r>
    <x v="98"/>
    <n v="1080"/>
    <n v="1874"/>
    <n v="794"/>
    <n v="0.42"/>
    <n v="0"/>
    <n v="0"/>
    <x v="2"/>
    <x v="1"/>
  </r>
  <r>
    <x v="99"/>
    <n v="3640"/>
    <n v="4588"/>
    <n v="948"/>
    <n v="0.21"/>
    <n v="1"/>
    <n v="5"/>
    <x v="0"/>
    <x v="0"/>
  </r>
  <r>
    <x v="100"/>
    <n v="1420"/>
    <n v="2420"/>
    <n v="1000"/>
    <n v="0.41"/>
    <n v="0"/>
    <n v="0"/>
    <x v="2"/>
    <x v="1"/>
  </r>
  <r>
    <x v="101"/>
    <n v="1875"/>
    <n v="1899"/>
    <n v="24"/>
    <n v="0.01"/>
    <n v="0"/>
    <n v="0"/>
    <x v="2"/>
    <x v="2"/>
  </r>
  <r>
    <x v="102"/>
    <n v="198"/>
    <n v="260"/>
    <n v="62"/>
    <n v="0.24"/>
    <n v="0"/>
    <n v="0"/>
    <x v="2"/>
    <x v="0"/>
  </r>
  <r>
    <x v="103"/>
    <n v="1150"/>
    <n v="1737"/>
    <n v="587"/>
    <n v="0.34"/>
    <n v="0"/>
    <n v="0"/>
    <x v="2"/>
    <x v="0"/>
  </r>
  <r>
    <x v="104"/>
    <n v="1190"/>
    <n v="1810"/>
    <n v="620"/>
    <n v="0.34"/>
    <n v="0"/>
    <n v="0"/>
    <x v="2"/>
    <x v="0"/>
  </r>
  <r>
    <x v="105"/>
    <n v="1658"/>
    <n v="1699"/>
    <n v="41"/>
    <n v="0.02"/>
    <n v="0"/>
    <n v="0"/>
    <x v="2"/>
    <x v="2"/>
  </r>
  <r>
    <x v="106"/>
    <n v="1768"/>
    <n v="1799"/>
    <n v="31"/>
    <n v="0.02"/>
    <n v="0"/>
    <n v="0"/>
    <x v="2"/>
    <x v="2"/>
  </r>
  <r>
    <x v="107"/>
    <n v="199"/>
    <n v="553"/>
    <n v="354"/>
    <n v="0.64"/>
    <n v="0"/>
    <n v="0"/>
    <x v="2"/>
    <x v="1"/>
  </r>
  <r>
    <x v="108"/>
    <n v="450"/>
    <n v="900"/>
    <n v="450"/>
    <n v="0.5"/>
    <n v="1"/>
    <n v="2"/>
    <x v="2"/>
    <x v="1"/>
  </r>
  <r>
    <x v="109"/>
    <n v="169"/>
    <n v="320"/>
    <n v="151"/>
    <n v="0.47"/>
    <n v="0"/>
    <n v="0"/>
    <x v="2"/>
    <x v="1"/>
  </r>
  <r>
    <x v="110"/>
    <m/>
    <m/>
    <m/>
    <m/>
    <m/>
    <m/>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n v="2025"/>
    <n v="3971"/>
    <n v="1946"/>
    <n v="0.49"/>
    <n v="3"/>
    <n v="5"/>
    <x v="0"/>
    <x v="0"/>
  </r>
  <r>
    <x v="1"/>
    <n v="171"/>
    <n v="360"/>
    <n v="189"/>
    <n v="0.53"/>
    <n v="2"/>
    <n v="5"/>
    <x v="0"/>
    <x v="0"/>
  </r>
  <r>
    <x v="2"/>
    <n v="332"/>
    <n v="684"/>
    <n v="352"/>
    <n v="0.51"/>
    <n v="2"/>
    <n v="5"/>
    <x v="0"/>
    <x v="0"/>
  </r>
  <r>
    <x v="3"/>
    <n v="195"/>
    <n v="360"/>
    <n v="165"/>
    <n v="0.46"/>
    <n v="2"/>
    <n v="5"/>
    <x v="0"/>
    <x v="0"/>
  </r>
  <r>
    <x v="4"/>
    <n v="979"/>
    <n v="1920"/>
    <n v="941"/>
    <n v="0.49"/>
    <n v="1"/>
    <n v="5"/>
    <x v="0"/>
    <x v="0"/>
  </r>
  <r>
    <x v="5"/>
    <n v="1620"/>
    <n v="2690"/>
    <n v="1070"/>
    <n v="0.4"/>
    <n v="1"/>
    <n v="5"/>
    <x v="0"/>
    <x v="0"/>
  </r>
  <r>
    <x v="6"/>
    <n v="3640"/>
    <n v="4588"/>
    <n v="948"/>
    <n v="0.21"/>
    <n v="1"/>
    <n v="5"/>
    <x v="0"/>
    <x v="1"/>
  </r>
  <r>
    <x v="7"/>
    <n v="552"/>
    <n v="1035"/>
    <n v="483"/>
    <n v="0.47"/>
    <n v="12"/>
    <n v="4.8"/>
    <x v="0"/>
    <x v="0"/>
  </r>
  <r>
    <x v="8"/>
    <n v="1274"/>
    <n v="2800"/>
    <n v="1526"/>
    <n v="0.55000000000000004"/>
    <n v="5"/>
    <n v="4.8"/>
    <x v="0"/>
    <x v="0"/>
  </r>
  <r>
    <x v="9"/>
    <n v="1740"/>
    <n v="2356"/>
    <n v="616"/>
    <n v="0.26"/>
    <n v="5"/>
    <n v="4.8"/>
    <x v="0"/>
    <x v="1"/>
  </r>
  <r>
    <x v="10"/>
    <n v="990"/>
    <n v="1500"/>
    <n v="510"/>
    <n v="0.34"/>
    <n v="39"/>
    <n v="4.7"/>
    <x v="0"/>
    <x v="1"/>
  </r>
  <r>
    <x v="11"/>
    <n v="1940"/>
    <n v="2650"/>
    <n v="710"/>
    <n v="0.27"/>
    <n v="20"/>
    <n v="4.7"/>
    <x v="0"/>
    <x v="1"/>
  </r>
  <r>
    <x v="12"/>
    <n v="980"/>
    <n v="1490"/>
    <n v="510"/>
    <n v="0.34"/>
    <n v="12"/>
    <n v="4.7"/>
    <x v="0"/>
    <x v="1"/>
  </r>
  <r>
    <x v="13"/>
    <n v="1580"/>
    <n v="2499"/>
    <n v="919"/>
    <n v="0.37"/>
    <n v="7"/>
    <n v="4.7"/>
    <x v="0"/>
    <x v="1"/>
  </r>
  <r>
    <x v="14"/>
    <n v="2319"/>
    <n v="3032"/>
    <n v="713"/>
    <n v="0.24"/>
    <n v="55"/>
    <n v="4.5999999999999996"/>
    <x v="0"/>
    <x v="1"/>
  </r>
  <r>
    <x v="15"/>
    <n v="420"/>
    <n v="647"/>
    <n v="227"/>
    <n v="0.35"/>
    <n v="49"/>
    <n v="4.5999999999999996"/>
    <x v="0"/>
    <x v="1"/>
  </r>
  <r>
    <x v="16"/>
    <n v="998"/>
    <n v="1966"/>
    <n v="968"/>
    <n v="0.49"/>
    <n v="44"/>
    <n v="4.5999999999999996"/>
    <x v="0"/>
    <x v="0"/>
  </r>
  <r>
    <x v="17"/>
    <n v="2199"/>
    <n v="2923"/>
    <n v="724"/>
    <n v="0.25"/>
    <n v="24"/>
    <n v="4.5999999999999996"/>
    <x v="0"/>
    <x v="1"/>
  </r>
  <r>
    <x v="18"/>
    <n v="2999"/>
    <n v="3699"/>
    <n v="700"/>
    <n v="0.19"/>
    <n v="5"/>
    <n v="4.5999999999999996"/>
    <x v="0"/>
    <x v="2"/>
  </r>
  <r>
    <x v="19"/>
    <n v="1980"/>
    <n v="2699"/>
    <n v="719"/>
    <n v="0.27"/>
    <n v="32"/>
    <n v="4.5"/>
    <x v="0"/>
    <x v="1"/>
  </r>
  <r>
    <x v="20"/>
    <n v="501"/>
    <n v="860"/>
    <n v="359"/>
    <n v="0.42"/>
    <n v="6"/>
    <n v="4.5"/>
    <x v="0"/>
    <x v="0"/>
  </r>
  <r>
    <x v="21"/>
    <n v="950"/>
    <n v="1525"/>
    <n v="575"/>
    <n v="0.38"/>
    <n v="2"/>
    <n v="4.5"/>
    <x v="0"/>
    <x v="1"/>
  </r>
  <r>
    <x v="22"/>
    <n v="1620"/>
    <n v="2200"/>
    <n v="580"/>
    <n v="0.38"/>
    <n v="2"/>
    <n v="4.5"/>
    <x v="0"/>
    <x v="1"/>
  </r>
  <r>
    <x v="23"/>
    <n v="1980"/>
    <n v="3200"/>
    <n v="1220"/>
    <n v="0.38"/>
    <n v="2"/>
    <n v="4.5"/>
    <x v="0"/>
    <x v="1"/>
  </r>
  <r>
    <x v="24"/>
    <n v="1650"/>
    <n v="2150"/>
    <n v="500"/>
    <n v="0.23"/>
    <n v="14"/>
    <n v="4.4000000000000004"/>
    <x v="1"/>
    <x v="1"/>
  </r>
  <r>
    <x v="25"/>
    <n v="389"/>
    <n v="656"/>
    <n v="267"/>
    <n v="0.41"/>
    <n v="36"/>
    <n v="4.3"/>
    <x v="1"/>
    <x v="0"/>
  </r>
  <r>
    <x v="26"/>
    <n v="185"/>
    <n v="382"/>
    <n v="197"/>
    <n v="0.52"/>
    <n v="9"/>
    <n v="4.3"/>
    <x v="1"/>
    <x v="0"/>
  </r>
  <r>
    <x v="27"/>
    <n v="1820"/>
    <n v="3490"/>
    <n v="1670"/>
    <n v="0.48"/>
    <n v="9"/>
    <n v="4.3"/>
    <x v="1"/>
    <x v="0"/>
  </r>
  <r>
    <x v="28"/>
    <n v="2048"/>
    <n v="4500"/>
    <n v="2452"/>
    <n v="0.54"/>
    <n v="7"/>
    <n v="4.3"/>
    <x v="1"/>
    <x v="0"/>
  </r>
  <r>
    <x v="29"/>
    <n v="1680"/>
    <n v="2499"/>
    <n v="819"/>
    <n v="0.33"/>
    <n v="9"/>
    <n v="4.2"/>
    <x v="1"/>
    <x v="1"/>
  </r>
  <r>
    <x v="30"/>
    <n v="1758"/>
    <n v="2499"/>
    <n v="741"/>
    <n v="0.3"/>
    <n v="20"/>
    <n v="4.0999999999999996"/>
    <x v="1"/>
    <x v="1"/>
  </r>
  <r>
    <x v="31"/>
    <n v="527"/>
    <n v="999"/>
    <n v="472"/>
    <n v="0.47"/>
    <n v="14"/>
    <n v="4.0999999999999996"/>
    <x v="1"/>
    <x v="0"/>
  </r>
  <r>
    <x v="32"/>
    <n v="799"/>
    <n v="999"/>
    <n v="200"/>
    <n v="0.2"/>
    <n v="12"/>
    <n v="4.0999999999999996"/>
    <x v="1"/>
    <x v="1"/>
  </r>
  <r>
    <x v="33"/>
    <n v="2999"/>
    <n v="3290"/>
    <n v="291"/>
    <n v="0.09"/>
    <n v="15"/>
    <n v="4"/>
    <x v="1"/>
    <x v="2"/>
  </r>
  <r>
    <x v="34"/>
    <n v="880"/>
    <n v="1350"/>
    <n v="470"/>
    <n v="0.35"/>
    <n v="6"/>
    <n v="4"/>
    <x v="1"/>
    <x v="1"/>
  </r>
  <r>
    <x v="35"/>
    <n v="988"/>
    <n v="1580"/>
    <n v="592"/>
    <n v="0.37"/>
    <n v="2"/>
    <n v="4"/>
    <x v="1"/>
    <x v="1"/>
  </r>
  <r>
    <x v="36"/>
    <n v="330"/>
    <n v="647"/>
    <n v="317"/>
    <n v="0.49"/>
    <n v="1"/>
    <n v="4"/>
    <x v="1"/>
    <x v="0"/>
  </r>
  <r>
    <x v="37"/>
    <n v="1350"/>
    <n v="1990"/>
    <n v="640"/>
    <n v="0.32"/>
    <n v="13"/>
    <n v="3.8"/>
    <x v="1"/>
    <x v="1"/>
  </r>
  <r>
    <x v="38"/>
    <n v="2880"/>
    <n v="3520"/>
    <n v="640"/>
    <n v="0.18"/>
    <n v="12"/>
    <n v="3.8"/>
    <x v="1"/>
    <x v="2"/>
  </r>
  <r>
    <x v="39"/>
    <n v="1600"/>
    <n v="2929"/>
    <n v="1329"/>
    <n v="0.45"/>
    <n v="5"/>
    <n v="3.8"/>
    <x v="1"/>
    <x v="0"/>
  </r>
  <r>
    <x v="40"/>
    <n v="38"/>
    <n v="80"/>
    <n v="42"/>
    <n v="0.53"/>
    <n v="13"/>
    <n v="3.3"/>
    <x v="1"/>
    <x v="0"/>
  </r>
  <r>
    <x v="41"/>
    <n v="458"/>
    <n v="986"/>
    <n v="528"/>
    <n v="0.54"/>
    <n v="10"/>
    <n v="3"/>
    <x v="1"/>
    <x v="0"/>
  </r>
  <r>
    <x v="42"/>
    <n v="509"/>
    <n v="899"/>
    <n v="390"/>
    <n v="0.43"/>
    <n v="5"/>
    <n v="3"/>
    <x v="1"/>
    <x v="0"/>
  </r>
  <r>
    <x v="43"/>
    <n v="3750"/>
    <n v="6143"/>
    <n v="2393"/>
    <n v="0.39"/>
    <n v="5"/>
    <n v="3"/>
    <x v="1"/>
    <x v="1"/>
  </r>
  <r>
    <x v="44"/>
    <n v="2300"/>
    <n v="3240"/>
    <n v="940"/>
    <n v="0.28999999999999998"/>
    <n v="5"/>
    <n v="3"/>
    <x v="1"/>
    <x v="1"/>
  </r>
  <r>
    <x v="45"/>
    <n v="1189"/>
    <n v="2199"/>
    <n v="1010"/>
    <n v="0.46"/>
    <n v="1"/>
    <n v="3"/>
    <x v="1"/>
    <x v="0"/>
  </r>
  <r>
    <x v="46"/>
    <n v="1220"/>
    <n v="1555"/>
    <n v="335"/>
    <n v="0.22"/>
    <n v="16"/>
    <n v="2.9"/>
    <x v="2"/>
    <x v="1"/>
  </r>
  <r>
    <x v="47"/>
    <n v="445"/>
    <n v="873"/>
    <n v="428"/>
    <n v="0.49"/>
    <n v="69"/>
    <n v="2.8"/>
    <x v="2"/>
    <x v="0"/>
  </r>
  <r>
    <x v="48"/>
    <n v="325"/>
    <n v="680"/>
    <n v="355"/>
    <n v="0.52"/>
    <n v="15"/>
    <n v="2.7"/>
    <x v="2"/>
    <x v="0"/>
  </r>
  <r>
    <x v="49"/>
    <n v="382"/>
    <n v="700"/>
    <n v="318"/>
    <n v="0.45"/>
    <n v="17"/>
    <n v="2.6"/>
    <x v="2"/>
    <x v="0"/>
  </r>
  <r>
    <x v="50"/>
    <n v="2170"/>
    <n v="2500"/>
    <n v="330"/>
    <n v="0.13"/>
    <n v="6"/>
    <n v="2.5"/>
    <x v="2"/>
    <x v="2"/>
  </r>
  <r>
    <x v="51"/>
    <n v="1000"/>
    <n v="2000"/>
    <n v="1000"/>
    <n v="0.5"/>
    <n v="7"/>
    <n v="2.2999999999999998"/>
    <x v="2"/>
    <x v="0"/>
  </r>
  <r>
    <x v="52"/>
    <n v="345"/>
    <n v="602"/>
    <n v="257"/>
    <n v="0.43"/>
    <n v="6"/>
    <n v="2.2999999999999998"/>
    <x v="2"/>
    <x v="0"/>
  </r>
  <r>
    <x v="53"/>
    <n v="968"/>
    <n v="1814"/>
    <n v="846"/>
    <n v="0.47"/>
    <n v="6"/>
    <n v="2.2000000000000002"/>
    <x v="2"/>
    <x v="0"/>
  </r>
  <r>
    <x v="54"/>
    <n v="990"/>
    <n v="1814"/>
    <n v="824"/>
    <n v="0.45"/>
    <n v="6"/>
    <n v="2.2000000000000002"/>
    <x v="2"/>
    <x v="0"/>
  </r>
  <r>
    <x v="55"/>
    <n v="2115"/>
    <n v="4700"/>
    <n v="2585"/>
    <n v="0.55000000000000004"/>
    <n v="13"/>
    <n v="2.1"/>
    <x v="2"/>
    <x v="0"/>
  </r>
  <r>
    <x v="56"/>
    <n v="1570"/>
    <n v="2988"/>
    <n v="1418"/>
    <n v="0.47"/>
    <n v="7"/>
    <n v="2.1"/>
    <x v="2"/>
    <x v="0"/>
  </r>
  <r>
    <x v="57"/>
    <n v="450"/>
    <n v="900"/>
    <n v="450"/>
    <n v="0.5"/>
    <n v="1"/>
    <n v="2"/>
    <x v="2"/>
    <x v="0"/>
  </r>
  <r>
    <x v="58"/>
    <n v="199"/>
    <n v="553"/>
    <n v="354"/>
    <n v="0.64"/>
    <n v="0"/>
    <n v="0"/>
    <x v="2"/>
    <x v="0"/>
  </r>
  <r>
    <x v="59"/>
    <n v="199"/>
    <n v="504"/>
    <n v="305"/>
    <n v="0.61"/>
    <n v="0"/>
    <n v="0"/>
    <x v="2"/>
    <x v="0"/>
  </r>
  <r>
    <x v="60"/>
    <n v="399"/>
    <n v="896"/>
    <n v="497"/>
    <n v="0.55000000000000004"/>
    <n v="0"/>
    <n v="0"/>
    <x v="2"/>
    <x v="0"/>
  </r>
  <r>
    <x v="61"/>
    <n v="238"/>
    <n v="476"/>
    <n v="238"/>
    <n v="0.5"/>
    <n v="0"/>
    <n v="0"/>
    <x v="2"/>
    <x v="0"/>
  </r>
  <r>
    <x v="62"/>
    <n v="999"/>
    <n v="2000"/>
    <n v="1001"/>
    <n v="0.5"/>
    <n v="0"/>
    <n v="0"/>
    <x v="2"/>
    <x v="0"/>
  </r>
  <r>
    <x v="63"/>
    <n v="299"/>
    <n v="600"/>
    <n v="301"/>
    <n v="0.5"/>
    <n v="0"/>
    <n v="0"/>
    <x v="2"/>
    <x v="0"/>
  </r>
  <r>
    <x v="64"/>
    <n v="850"/>
    <n v="1700"/>
    <n v="850"/>
    <n v="0.5"/>
    <n v="0"/>
    <n v="0"/>
    <x v="2"/>
    <x v="0"/>
  </r>
  <r>
    <x v="65"/>
    <n v="1200"/>
    <n v="2400"/>
    <n v="1200"/>
    <n v="0.5"/>
    <n v="0"/>
    <n v="0"/>
    <x v="2"/>
    <x v="0"/>
  </r>
  <r>
    <x v="66"/>
    <n v="475"/>
    <n v="931"/>
    <n v="456"/>
    <n v="0.49"/>
    <n v="0"/>
    <n v="0"/>
    <x v="2"/>
    <x v="0"/>
  </r>
  <r>
    <x v="67"/>
    <n v="671"/>
    <n v="1316"/>
    <n v="645"/>
    <n v="0.49"/>
    <n v="0"/>
    <n v="0"/>
    <x v="2"/>
    <x v="0"/>
  </r>
  <r>
    <x v="68"/>
    <n v="799"/>
    <n v="1567"/>
    <n v="768"/>
    <n v="0.49"/>
    <n v="0"/>
    <n v="0"/>
    <x v="2"/>
    <x v="0"/>
  </r>
  <r>
    <x v="69"/>
    <n v="230"/>
    <n v="450"/>
    <n v="220"/>
    <n v="0.49"/>
    <n v="0"/>
    <n v="0"/>
    <x v="2"/>
    <x v="0"/>
  </r>
  <r>
    <x v="59"/>
    <n v="176"/>
    <n v="345"/>
    <n v="169"/>
    <n v="0.49"/>
    <n v="0"/>
    <n v="0"/>
    <x v="2"/>
    <x v="0"/>
  </r>
  <r>
    <x v="70"/>
    <n v="274"/>
    <n v="537"/>
    <n v="263"/>
    <n v="0.49"/>
    <n v="0"/>
    <n v="0"/>
    <x v="2"/>
    <x v="0"/>
  </r>
  <r>
    <x v="68"/>
    <n v="657"/>
    <n v="1288"/>
    <n v="631"/>
    <n v="0.49"/>
    <n v="0"/>
    <n v="0"/>
    <x v="2"/>
    <x v="0"/>
  </r>
  <r>
    <x v="71"/>
    <n v="248"/>
    <n v="486"/>
    <n v="238"/>
    <n v="0.49"/>
    <n v="0"/>
    <n v="0"/>
    <x v="2"/>
    <x v="0"/>
  </r>
  <r>
    <x v="72"/>
    <n v="525"/>
    <n v="1029"/>
    <n v="504"/>
    <n v="0.49"/>
    <n v="0"/>
    <n v="0"/>
    <x v="2"/>
    <x v="0"/>
  </r>
  <r>
    <x v="73"/>
    <n v="699"/>
    <n v="1343"/>
    <n v="644"/>
    <n v="0.48"/>
    <n v="0"/>
    <n v="0"/>
    <x v="2"/>
    <x v="0"/>
  </r>
  <r>
    <x v="74"/>
    <n v="1300"/>
    <n v="2500"/>
    <n v="1200"/>
    <n v="0.48"/>
    <n v="0"/>
    <n v="0"/>
    <x v="2"/>
    <x v="0"/>
  </r>
  <r>
    <x v="75"/>
    <n v="105"/>
    <n v="200"/>
    <n v="95"/>
    <n v="0.48"/>
    <n v="0"/>
    <n v="0"/>
    <x v="2"/>
    <x v="0"/>
  </r>
  <r>
    <x v="76"/>
    <n v="790"/>
    <n v="1485"/>
    <n v="695"/>
    <n v="0.47"/>
    <n v="0"/>
    <n v="0"/>
    <x v="2"/>
    <x v="0"/>
  </r>
  <r>
    <x v="77"/>
    <n v="899"/>
    <n v="1699"/>
    <n v="800"/>
    <n v="0.47"/>
    <n v="0"/>
    <n v="0"/>
    <x v="2"/>
    <x v="0"/>
  </r>
  <r>
    <x v="78"/>
    <n v="169"/>
    <n v="320"/>
    <n v="151"/>
    <n v="0.47"/>
    <n v="0"/>
    <n v="0"/>
    <x v="2"/>
    <x v="0"/>
  </r>
  <r>
    <x v="79"/>
    <n v="2200"/>
    <n v="4080"/>
    <n v="1880"/>
    <n v="0.46"/>
    <n v="0"/>
    <n v="0"/>
    <x v="2"/>
    <x v="0"/>
  </r>
  <r>
    <x v="60"/>
    <n v="499"/>
    <n v="900"/>
    <n v="401"/>
    <n v="0.45"/>
    <n v="0"/>
    <n v="0"/>
    <x v="2"/>
    <x v="0"/>
  </r>
  <r>
    <x v="80"/>
    <n v="690"/>
    <n v="1200"/>
    <n v="510"/>
    <n v="0.43"/>
    <n v="0"/>
    <n v="0"/>
    <x v="2"/>
    <x v="0"/>
  </r>
  <r>
    <x v="81"/>
    <n v="630"/>
    <n v="1100"/>
    <n v="470"/>
    <n v="0.43"/>
    <n v="0"/>
    <n v="0"/>
    <x v="2"/>
    <x v="0"/>
  </r>
  <r>
    <x v="82"/>
    <n v="1860"/>
    <n v="3220"/>
    <n v="1360"/>
    <n v="0.42"/>
    <n v="0"/>
    <n v="0"/>
    <x v="2"/>
    <x v="0"/>
  </r>
  <r>
    <x v="83"/>
    <n v="610"/>
    <n v="1060"/>
    <n v="450"/>
    <n v="0.42"/>
    <n v="0"/>
    <n v="0"/>
    <x v="2"/>
    <x v="0"/>
  </r>
  <r>
    <x v="84"/>
    <n v="1080"/>
    <n v="1874"/>
    <n v="794"/>
    <n v="0.42"/>
    <n v="0"/>
    <n v="0"/>
    <x v="2"/>
    <x v="0"/>
  </r>
  <r>
    <x v="85"/>
    <n v="799"/>
    <n v="1343"/>
    <n v="544"/>
    <n v="0.41"/>
    <n v="0"/>
    <n v="0"/>
    <x v="2"/>
    <x v="0"/>
  </r>
  <r>
    <x v="86"/>
    <n v="1420"/>
    <n v="2420"/>
    <n v="1000"/>
    <n v="0.41"/>
    <n v="0"/>
    <n v="0"/>
    <x v="2"/>
    <x v="0"/>
  </r>
  <r>
    <x v="87"/>
    <n v="2750"/>
    <n v="4471"/>
    <n v="1721"/>
    <n v="0.38"/>
    <n v="0"/>
    <n v="0"/>
    <x v="2"/>
    <x v="1"/>
  </r>
  <r>
    <x v="88"/>
    <n v="1200"/>
    <n v="1950"/>
    <n v="750"/>
    <n v="0.38"/>
    <n v="0"/>
    <n v="0"/>
    <x v="2"/>
    <x v="1"/>
  </r>
  <r>
    <x v="89"/>
    <n v="1460"/>
    <n v="2290"/>
    <n v="830"/>
    <n v="0.36"/>
    <n v="0"/>
    <n v="0"/>
    <x v="2"/>
    <x v="1"/>
  </r>
  <r>
    <x v="90"/>
    <n v="1150"/>
    <n v="1737"/>
    <n v="587"/>
    <n v="0.34"/>
    <n v="0"/>
    <n v="0"/>
    <x v="2"/>
    <x v="1"/>
  </r>
  <r>
    <x v="91"/>
    <n v="1190"/>
    <n v="1810"/>
    <n v="620"/>
    <n v="0.34"/>
    <n v="0"/>
    <n v="0"/>
    <x v="2"/>
    <x v="1"/>
  </r>
  <r>
    <x v="92"/>
    <n v="1190"/>
    <n v="1785"/>
    <n v="595"/>
    <n v="0.33"/>
    <n v="0"/>
    <n v="0"/>
    <x v="2"/>
    <x v="1"/>
  </r>
  <r>
    <x v="93"/>
    <n v="2799"/>
    <n v="3810"/>
    <n v="1011"/>
    <n v="0.27"/>
    <n v="0"/>
    <n v="0"/>
    <x v="2"/>
    <x v="1"/>
  </r>
  <r>
    <x v="94"/>
    <n v="198"/>
    <n v="260"/>
    <n v="62"/>
    <n v="0.24"/>
    <n v="0"/>
    <n v="0"/>
    <x v="2"/>
    <x v="1"/>
  </r>
  <r>
    <x v="95"/>
    <n v="299"/>
    <n v="384"/>
    <n v="85"/>
    <n v="0.22"/>
    <n v="0"/>
    <n v="0"/>
    <x v="2"/>
    <x v="1"/>
  </r>
  <r>
    <x v="96"/>
    <n v="1466"/>
    <n v="1699"/>
    <n v="233"/>
    <n v="0.14000000000000001"/>
    <n v="0"/>
    <n v="0"/>
    <x v="2"/>
    <x v="2"/>
  </r>
  <r>
    <x v="97"/>
    <n v="1468"/>
    <n v="1699"/>
    <n v="231"/>
    <n v="0.14000000000000001"/>
    <n v="0"/>
    <n v="0"/>
    <x v="2"/>
    <x v="2"/>
  </r>
  <r>
    <x v="98"/>
    <n v="799"/>
    <n v="900"/>
    <n v="101"/>
    <n v="0.11"/>
    <n v="0"/>
    <n v="0"/>
    <x v="2"/>
    <x v="2"/>
  </r>
  <r>
    <x v="99"/>
    <n v="1526"/>
    <n v="1660"/>
    <n v="134"/>
    <n v="0.08"/>
    <n v="0"/>
    <n v="0"/>
    <x v="2"/>
    <x v="2"/>
  </r>
  <r>
    <x v="100"/>
    <n v="1732"/>
    <n v="1799"/>
    <n v="67"/>
    <n v="0.04"/>
    <n v="0"/>
    <n v="0"/>
    <x v="2"/>
    <x v="2"/>
  </r>
  <r>
    <x v="101"/>
    <n v="3546"/>
    <n v="3699"/>
    <n v="153"/>
    <n v="0.04"/>
    <n v="0"/>
    <n v="0"/>
    <x v="2"/>
    <x v="2"/>
  </r>
  <r>
    <x v="102"/>
    <n v="1459"/>
    <n v="1499"/>
    <n v="40"/>
    <n v="0.03"/>
    <n v="0"/>
    <n v="0"/>
    <x v="2"/>
    <x v="2"/>
  </r>
  <r>
    <x v="103"/>
    <n v="2132"/>
    <n v="2169"/>
    <n v="37"/>
    <n v="0.02"/>
    <n v="0"/>
    <n v="0"/>
    <x v="2"/>
    <x v="2"/>
  </r>
  <r>
    <x v="104"/>
    <n v="1660"/>
    <n v="1699"/>
    <n v="39"/>
    <n v="0.02"/>
    <n v="0"/>
    <n v="0"/>
    <x v="2"/>
    <x v="2"/>
  </r>
  <r>
    <x v="105"/>
    <n v="1666"/>
    <n v="1699"/>
    <n v="33"/>
    <n v="0.02"/>
    <n v="0"/>
    <n v="0"/>
    <x v="2"/>
    <x v="2"/>
  </r>
  <r>
    <x v="106"/>
    <n v="1462"/>
    <n v="1499"/>
    <n v="37"/>
    <n v="0.02"/>
    <n v="0"/>
    <n v="0"/>
    <x v="2"/>
    <x v="2"/>
  </r>
  <r>
    <x v="107"/>
    <n v="1658"/>
    <n v="1699"/>
    <n v="41"/>
    <n v="0.02"/>
    <n v="0"/>
    <n v="0"/>
    <x v="2"/>
    <x v="2"/>
  </r>
  <r>
    <x v="108"/>
    <n v="1768"/>
    <n v="1799"/>
    <n v="31"/>
    <n v="0.02"/>
    <n v="0"/>
    <n v="0"/>
    <x v="2"/>
    <x v="2"/>
  </r>
  <r>
    <x v="109"/>
    <n v="1875"/>
    <n v="1899"/>
    <n v="24"/>
    <n v="0.01"/>
    <n v="0"/>
    <n v="0"/>
    <x v="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n v="1"/>
    <s v="LASA Aluminum Folding Truck Hand Cart - 68kg Max"/>
    <n v="2025"/>
    <n v="3971"/>
    <n v="1946"/>
    <n v="0.49"/>
    <n v="3"/>
    <n v="5"/>
    <s v="Excellent"/>
    <x v="0"/>
  </r>
  <r>
    <n v="2"/>
    <s v="Classic Black Cat Cotton Hemp Pillow Case For Home Car"/>
    <n v="171"/>
    <n v="360"/>
    <n v="189"/>
    <n v="0.53"/>
    <n v="2"/>
    <n v="5"/>
    <s v="Excellent"/>
    <x v="0"/>
  </r>
  <r>
    <n v="3"/>
    <s v="Anti-Skid Absorbent Insulation Coaster  For Home Office"/>
    <n v="332"/>
    <n v="684"/>
    <n v="352"/>
    <n v="0.51"/>
    <n v="2"/>
    <n v="5"/>
    <s v="Excellent"/>
    <x v="0"/>
  </r>
  <r>
    <n v="4"/>
    <s v="Peacock  Throw Pillow Cushion Case For Home Car"/>
    <n v="195"/>
    <n v="360"/>
    <n v="165"/>
    <n v="0.46"/>
    <n v="2"/>
    <n v="5"/>
    <s v="Excellent"/>
    <x v="0"/>
  </r>
  <r>
    <n v="5"/>
    <s v="Bedroom Simple Floor Hanging Clothes Rack Single Pole Hat Rack - White"/>
    <n v="979"/>
    <n v="1920"/>
    <n v="941"/>
    <n v="0.49"/>
    <n v="1"/>
    <n v="5"/>
    <s v="Excellent"/>
    <x v="0"/>
  </r>
  <r>
    <n v="6"/>
    <s v="DIY File Folder, Office Drawer File Holder, Pen Holder, Desktop Storage Rack"/>
    <n v="1620"/>
    <n v="2690"/>
    <n v="1070"/>
    <n v="0.4"/>
    <n v="1"/>
    <n v="5"/>
    <s v="Excellent"/>
    <x v="0"/>
  </r>
  <r>
    <n v="7"/>
    <s v="Konka Healty Electric Kettle, 24-hour Heat Preservation,1.5L,800W, White"/>
    <n v="3640"/>
    <n v="4588"/>
    <n v="948"/>
    <n v="0.21"/>
    <n v="1"/>
    <n v="5"/>
    <s v="Excellent"/>
    <x v="1"/>
  </r>
  <r>
    <n v="8"/>
    <s v="40cm Gold DIY Acrylic Wall Sticker Clock"/>
    <n v="552"/>
    <n v="1035"/>
    <n v="483"/>
    <n v="0.47"/>
    <n v="12"/>
    <n v="4.8"/>
    <s v="Excellent"/>
    <x v="0"/>
  </r>
  <r>
    <n v="9"/>
    <s v="LASA FOLDING TABLE SERVING STAND"/>
    <n v="1274"/>
    <n v="2800"/>
    <n v="1526"/>
    <n v="0.55000000000000004"/>
    <n v="5"/>
    <n v="4.8"/>
    <s v="Excellent"/>
    <x v="0"/>
  </r>
  <r>
    <n v="10"/>
    <s v="Portable Home Small Air Humidifier 3-Speed Fan - Green"/>
    <n v="1740"/>
    <n v="2356"/>
    <n v="616"/>
    <n v="0.26"/>
    <n v="5"/>
    <n v="4.8"/>
    <s v="Excellent"/>
    <x v="1"/>
  </r>
  <r>
    <n v="11"/>
    <s v="100 Pcs Crochet Hook Tool Set Knitting Hook Set With Box"/>
    <n v="990"/>
    <n v="1500"/>
    <n v="510"/>
    <n v="0.34"/>
    <n v="39"/>
    <n v="4.7"/>
    <s v="Excellent"/>
    <x v="1"/>
  </r>
  <r>
    <n v="12"/>
    <s v="53Pcs/Set Yarn Knitting Crochet Hooks With Bag - Fortune Cat"/>
    <n v="1940"/>
    <n v="2650"/>
    <n v="710"/>
    <n v="0.27"/>
    <n v="20"/>
    <n v="4.7"/>
    <s v="Excellent"/>
    <x v="1"/>
  </r>
  <r>
    <n v="13"/>
    <s v="12 Litre Insulated Lunch Box Grey"/>
    <n v="980"/>
    <n v="1490"/>
    <n v="510"/>
    <n v="0.34"/>
    <n v="12"/>
    <n v="4.7"/>
    <s v="Excellent"/>
    <x v="1"/>
  </r>
  <r>
    <n v="14"/>
    <s v="Weighing Scale Digital Bathroom Body Fat Scale USB-Black"/>
    <n v="1580"/>
    <n v="2499"/>
    <n v="919"/>
    <n v="0.37"/>
    <n v="7"/>
    <n v="4.7"/>
    <s v="Excellent"/>
    <x v="1"/>
  </r>
  <r>
    <n v="15"/>
    <s v="137 Pieces Cake Decorating Tool Set Baking Supplies"/>
    <n v="2319"/>
    <n v="3032"/>
    <n v="713"/>
    <n v="0.24"/>
    <n v="55"/>
    <n v="4.5999999999999996"/>
    <s v="Excellent"/>
    <x v="1"/>
  </r>
  <r>
    <n v="16"/>
    <s v="Electronic Digital Display Vernier Caliper"/>
    <n v="420"/>
    <n v="647"/>
    <n v="227"/>
    <n v="0.35"/>
    <n v="49"/>
    <n v="4.5999999999999996"/>
    <s v="Excellent"/>
    <x v="1"/>
  </r>
  <r>
    <n v="17"/>
    <s v="3D Waterproof EVA Plastic Shower Curtain 1.8*2Mtrs"/>
    <n v="998"/>
    <n v="1966"/>
    <n v="968"/>
    <n v="0.49"/>
    <n v="44"/>
    <n v="4.5999999999999996"/>
    <s v="Excellent"/>
    <x v="0"/>
  </r>
  <r>
    <n v="18"/>
    <s v="Portable Mini Cordless Car Vacuum Cleaner - Blue"/>
    <n v="2199"/>
    <n v="2923"/>
    <n v="724"/>
    <n v="0.25"/>
    <n v="24"/>
    <n v="4.5999999999999996"/>
    <s v="Excellent"/>
    <x v="1"/>
  </r>
  <r>
    <n v="19"/>
    <s v="LED Wall Digital Alarm Clock Study Home 12 / 24H Clock Calendar"/>
    <n v="2999"/>
    <n v="3699"/>
    <n v="700"/>
    <n v="0.19"/>
    <n v="5"/>
    <n v="4.5999999999999996"/>
    <s v="Excellent"/>
    <x v="2"/>
  </r>
  <r>
    <n v="20"/>
    <s v="53 Pieces/Set Yarn Knitting Crochet Hooks With Bag - Pansies"/>
    <n v="1980"/>
    <n v="2699"/>
    <n v="719"/>
    <n v="0.27"/>
    <n v="32"/>
    <n v="4.5"/>
    <s v="Excellent"/>
    <x v="1"/>
  </r>
  <r>
    <n v="21"/>
    <s v="LASA Digital Thermometer And Hydrometer"/>
    <n v="501"/>
    <n v="860"/>
    <n v="359"/>
    <n v="0.42"/>
    <n v="6"/>
    <n v="4.5"/>
    <s v="Excellent"/>
    <x v="0"/>
  </r>
  <r>
    <n v="22"/>
    <s v="115  Piece Set Of Multifunctional Precision Screwdrivers"/>
    <n v="950"/>
    <n v="1525"/>
    <n v="575"/>
    <n v="0.38"/>
    <n v="2"/>
    <n v="4.5"/>
    <s v="Excellent"/>
    <x v="1"/>
  </r>
  <r>
    <n v="23"/>
    <s v="1/2/3 Seater Elastic Sofa Cover,Living Room/Home Decor Chair Cover-Grey A"/>
    <n v="1620"/>
    <n v="2200"/>
    <n v="580"/>
    <n v="0.38"/>
    <n v="2"/>
    <n v="4.5"/>
    <s v="Excellent"/>
    <x v="1"/>
  </r>
  <r>
    <n v="24"/>
    <s v="1/2/3 Seater Elastic Sofa Cover,Living Room/Home Decor Chair Cover-Grey "/>
    <n v="1980"/>
    <n v="3200"/>
    <n v="1220"/>
    <n v="0.38"/>
    <n v="2"/>
    <n v="4.5"/>
    <s v="Excellent"/>
    <x v="1"/>
  </r>
  <r>
    <n v="25"/>
    <s v="Foldable Overbed Table/Desk"/>
    <n v="1650"/>
    <n v="2150"/>
    <n v="500"/>
    <n v="0.23"/>
    <n v="14"/>
    <n v="4.4000000000000004"/>
    <s v="Average"/>
    <x v="1"/>
  </r>
  <r>
    <n v="26"/>
    <s v="Punch-free Great Load Bearing Bathroom Storage Rack Wall Shelf-White"/>
    <n v="389"/>
    <n v="656"/>
    <n v="267"/>
    <n v="0.41"/>
    <n v="36"/>
    <n v="4.3"/>
    <s v="Average"/>
    <x v="0"/>
  </r>
  <r>
    <n v="27"/>
    <s v="Exfoliate And Exfoliate Face Towel - Black"/>
    <n v="185"/>
    <n v="382"/>
    <n v="197"/>
    <n v="0.52"/>
    <n v="9"/>
    <n v="4.3"/>
    <s v="Average"/>
    <x v="0"/>
  </r>
  <r>
    <n v="28"/>
    <s v="LED Eye Protection  Desk Lamp , Study, Reading, USB Fan - Double Pen Holder"/>
    <n v="1820"/>
    <n v="3490"/>
    <n v="1670"/>
    <n v="0.48"/>
    <n v="9"/>
    <n v="4.3"/>
    <s v="Average"/>
    <x v="0"/>
  </r>
  <r>
    <n v="29"/>
    <s v="LASA 3 Tier Bamboo Shoe Bench Storage Shelf"/>
    <n v="2048"/>
    <n v="4500"/>
    <n v="2452"/>
    <n v="0.54"/>
    <n v="7"/>
    <n v="4.3"/>
    <s v="Average"/>
    <x v="0"/>
  </r>
  <r>
    <n v="30"/>
    <s v="Multifunction Laser Level With Adjustment Tripod"/>
    <n v="1680"/>
    <n v="2499"/>
    <n v="819"/>
    <n v="0.33"/>
    <n v="9"/>
    <n v="4.2"/>
    <s v="Average"/>
    <x v="1"/>
  </r>
  <r>
    <n v="31"/>
    <s v="52 Pieces Cake Decorating Tool Set Gift Kit Baking Supplies"/>
    <n v="1758"/>
    <n v="2499"/>
    <n v="741"/>
    <n v="0.3"/>
    <n v="20"/>
    <n v="4.0999999999999996"/>
    <s v="Average"/>
    <x v="1"/>
  </r>
  <r>
    <n v="32"/>
    <s v="Metal Decorative Hooks Key Hangers Entryway Wall Hooks Towel Hooks - Home"/>
    <n v="527"/>
    <n v="999"/>
    <n v="472"/>
    <n v="0.47"/>
    <n v="14"/>
    <n v="4.0999999999999996"/>
    <s v="Average"/>
    <x v="0"/>
  </r>
  <r>
    <n v="33"/>
    <s v="Genebre 115 In 1 Screwdriver Repairing Tool Set For IPhone Cellphone Hand Tool"/>
    <n v="799"/>
    <n v="999"/>
    <n v="200"/>
    <n v="0.2"/>
    <n v="12"/>
    <n v="4.0999999999999996"/>
    <s v="Average"/>
    <x v="1"/>
  </r>
  <r>
    <n v="34"/>
    <s v="220V 60W Electric Soldering Iron Kits With Tools, Tips, And Multimeter"/>
    <n v="2999"/>
    <n v="3290"/>
    <n v="291"/>
    <n v="0.09"/>
    <n v="15"/>
    <n v="4"/>
    <s v="Average"/>
    <x v="2"/>
  </r>
  <r>
    <n v="35"/>
    <s v="LED Romantic Spaceship Starry Sky Projector,Children's Bedroom Night Light-Blue"/>
    <n v="880"/>
    <n v="1350"/>
    <n v="470"/>
    <n v="0.35"/>
    <n v="6"/>
    <n v="4"/>
    <s v="Average"/>
    <x v="1"/>
  </r>
  <r>
    <n v="36"/>
    <s v="Desk Foldable Fan Adjustable Fan Strong Wind 3 Gear Usb"/>
    <n v="988"/>
    <n v="1580"/>
    <n v="592"/>
    <n v="0.37"/>
    <n v="2"/>
    <n v="4"/>
    <s v="Average"/>
    <x v="1"/>
  </r>
  <r>
    <n v="37"/>
    <s v="Household Pineapple Peeler Peeler"/>
    <n v="330"/>
    <n v="647"/>
    <n v="317"/>
    <n v="0.49"/>
    <n v="1"/>
    <n v="4"/>
    <s v="Average"/>
    <x v="0"/>
  </r>
  <r>
    <n v="38"/>
    <s v="12 Litre Black Insulated Lunch Box"/>
    <n v="1350"/>
    <n v="1990"/>
    <n v="640"/>
    <n v="0.32"/>
    <n v="13"/>
    <n v="3.8"/>
    <s v="Average"/>
    <x v="1"/>
  </r>
  <r>
    <n v="39"/>
    <s v="Portable Wardrobe Nonwoven With 3 Hanging Rods And 6 Storage Shelves"/>
    <n v="2880"/>
    <n v="3520"/>
    <n v="640"/>
    <n v="0.18"/>
    <n v="12"/>
    <n v="3.8"/>
    <s v="Average"/>
    <x v="2"/>
  </r>
  <r>
    <n v="40"/>
    <s v="13 In 1 Home Repair Tools Box Kit Set"/>
    <n v="1600"/>
    <n v="2929"/>
    <n v="1329"/>
    <n v="0.45"/>
    <n v="5"/>
    <n v="3.8"/>
    <s v="Average"/>
    <x v="0"/>
  </r>
  <r>
    <n v="41"/>
    <s v="3PCS Single Head Knitting Crochet Sweater Needle Set"/>
    <n v="38"/>
    <n v="80"/>
    <n v="42"/>
    <n v="0.53"/>
    <n v="13"/>
    <n v="3.3"/>
    <s v="Average"/>
    <x v="0"/>
  </r>
  <r>
    <n v="42"/>
    <s v="Mythco 120COB Solar Wall Ligt With Motion Sensor And Remote Control 3 Modes"/>
    <n v="458"/>
    <n v="986"/>
    <n v="528"/>
    <n v="0.54"/>
    <n v="10"/>
    <n v="3"/>
    <s v="Average"/>
    <x v="0"/>
  </r>
  <r>
    <n v="43"/>
    <s v="Wrought Iron Bathroom Shelf Wall Mounted Free Punch Toilet Rack"/>
    <n v="509"/>
    <n v="899"/>
    <n v="390"/>
    <n v="0.43"/>
    <n v="5"/>
    <n v="3"/>
    <s v="Average"/>
    <x v="0"/>
  </r>
  <r>
    <n v="44"/>
    <s v="32PCS Portable Cordless Drill Set With Cyclic Battery Drive -26 Variable Speed"/>
    <n v="3750"/>
    <n v="6143"/>
    <n v="2393"/>
    <n v="0.39"/>
    <n v="5"/>
    <n v="3"/>
    <s v="Average"/>
    <x v="1"/>
  </r>
  <r>
    <n v="45"/>
    <s v="Large Lazy Inflatable Sofa Chairs PVC Lounger Seat Bag"/>
    <n v="2300"/>
    <n v="3240"/>
    <n v="940"/>
    <n v="0.28999999999999998"/>
    <n v="5"/>
    <n v="3"/>
    <s v="Average"/>
    <x v="1"/>
  </r>
  <r>
    <n v="46"/>
    <s v="Memory Foam Neck Pillow Cover, With Pillow Core - 50*30cm"/>
    <n v="1189"/>
    <n v="2199"/>
    <n v="1010"/>
    <n v="0.46"/>
    <n v="1"/>
    <n v="3"/>
    <s v="Average"/>
    <x v="0"/>
  </r>
  <r>
    <n v="47"/>
    <s v="VIC Wireless Vacuum Cleaner Dual Use For Home And Car 120W High Power Powerful"/>
    <n v="1220"/>
    <n v="1555"/>
    <n v="335"/>
    <n v="0.22"/>
    <n v="16"/>
    <n v="2.9"/>
    <s v="Poor"/>
    <x v="1"/>
  </r>
  <r>
    <n v="48"/>
    <s v="120W Cordless Vacuum Cleaners Handheld Electric Vacuum Cleaner"/>
    <n v="445"/>
    <n v="873"/>
    <n v="428"/>
    <n v="0.49"/>
    <n v="69"/>
    <n v="2.8"/>
    <s v="Poor"/>
    <x v="0"/>
  </r>
  <r>
    <n v="49"/>
    <s v="Intelligent  LED Body Sensor Wireless Lighting Night Light USB"/>
    <n v="325"/>
    <n v="680"/>
    <n v="355"/>
    <n v="0.52"/>
    <n v="15"/>
    <n v="2.7"/>
    <s v="Poor"/>
    <x v="0"/>
  </r>
  <r>
    <n v="50"/>
    <s v="Agapeon Toothbrush Holder And Toothpaste Dispenser"/>
    <n v="382"/>
    <n v="700"/>
    <n v="318"/>
    <n v="0.45"/>
    <n v="17"/>
    <n v="2.6"/>
    <s v="Poor"/>
    <x v="0"/>
  </r>
  <r>
    <n v="51"/>
    <s v="5 Pieces/set Of Stainless Steel Induction Cooker Pots"/>
    <n v="2170"/>
    <n v="2500"/>
    <n v="330"/>
    <n v="0.13"/>
    <n v="6"/>
    <n v="2.5"/>
    <s v="Poor"/>
    <x v="2"/>
  </r>
  <r>
    <n v="52"/>
    <s v="380ML USB Rechargeable Portable Small Blenders And Juicers"/>
    <n v="1000"/>
    <n v="2000"/>
    <n v="1000"/>
    <n v="0.5"/>
    <n v="7"/>
    <n v="2.2999999999999998"/>
    <s v="Poor"/>
    <x v="0"/>
  </r>
  <r>
    <n v="53"/>
    <s v="Watercolour Gold Foil Textured Print Pillow Cover"/>
    <n v="345"/>
    <n v="602"/>
    <n v="257"/>
    <n v="0.43"/>
    <n v="6"/>
    <n v="2.2999999999999998"/>
    <s v="Poor"/>
    <x v="0"/>
  </r>
  <r>
    <n v="54"/>
    <s v="7-piece Set Of Storage Bags, Travel Storage Bags, Shoe Bags"/>
    <n v="968"/>
    <n v="1814"/>
    <n v="846"/>
    <n v="0.47"/>
    <n v="6"/>
    <n v="2.2000000000000002"/>
    <s v="Poor"/>
    <x v="0"/>
  </r>
  <r>
    <n v="55"/>
    <s v="Artificial Potted Flowers Room Decorative Flowers (2 Pieces)"/>
    <n v="990"/>
    <n v="1814"/>
    <n v="824"/>
    <n v="0.45"/>
    <n v="6"/>
    <n v="2.2000000000000002"/>
    <s v="Poor"/>
    <x v="0"/>
  </r>
  <r>
    <n v="56"/>
    <s v="5-PCS Stainless Steel Cooking Pot Set With Steamed Slices"/>
    <n v="2115"/>
    <n v="4700"/>
    <n v="2585"/>
    <n v="0.55000000000000004"/>
    <n v="13"/>
    <n v="2.1"/>
    <s v="Poor"/>
    <x v="0"/>
  </r>
  <r>
    <n v="57"/>
    <s v="Electric LED UV Mosquito Killer Lamp, Outdoor/Indoor Fly Killer Trap Light -USB"/>
    <n v="1570"/>
    <n v="2988"/>
    <n v="1418"/>
    <n v="0.47"/>
    <n v="7"/>
    <n v="2.1"/>
    <s v="Poor"/>
    <x v="0"/>
  </r>
  <r>
    <n v="58"/>
    <s v="Wall-mounted Sticker Punch-free Plug Fixer"/>
    <n v="450"/>
    <n v="900"/>
    <n v="450"/>
    <n v="0.5"/>
    <n v="1"/>
    <n v="2"/>
    <s v="Poor"/>
    <x v="0"/>
  </r>
  <r>
    <n v="59"/>
    <s v="6 In 1 Bottle Can Opener Multifunctional Easy Opener"/>
    <n v="199"/>
    <n v="553"/>
    <n v="354"/>
    <n v="0.64"/>
    <n v="0"/>
    <n v="0"/>
    <s v="Poor"/>
    <x v="0"/>
  </r>
  <r>
    <n v="60"/>
    <s v="Creative Owl Shape Keychain Black"/>
    <n v="199"/>
    <n v="504"/>
    <n v="305"/>
    <n v="0.61"/>
    <n v="0"/>
    <n v="0"/>
    <s v="Poor"/>
    <x v="0"/>
  </r>
  <r>
    <n v="61"/>
    <s v="Simple Metal Dog Art Sculpture Decoration For Home Office"/>
    <n v="399"/>
    <n v="896"/>
    <n v="497"/>
    <n v="0.55000000000000004"/>
    <n v="0"/>
    <n v="0"/>
    <s v="Poor"/>
    <x v="0"/>
  </r>
  <r>
    <n v="62"/>
    <s v="Modern Sofa Throw Pillow Cover-45x45cm-Blue&amp;Red"/>
    <n v="238"/>
    <n v="476"/>
    <n v="238"/>
    <n v="0.5"/>
    <n v="0"/>
    <n v="0"/>
    <s v="Poor"/>
    <x v="0"/>
  </r>
  <r>
    <n v="63"/>
    <s v="Christmas Elk Fence Yard Lawn Decorations Cute For Holidays"/>
    <n v="999"/>
    <n v="2000"/>
    <n v="1001"/>
    <n v="0.5"/>
    <n v="0"/>
    <n v="0"/>
    <s v="Poor"/>
    <x v="0"/>
  </r>
  <r>
    <n v="64"/>
    <s v="Brush &amp; Paintbrush Cleaning Tool Pink"/>
    <n v="299"/>
    <n v="600"/>
    <n v="301"/>
    <n v="0.5"/>
    <n v="0"/>
    <n v="0"/>
    <s v="Poor"/>
    <x v="0"/>
  </r>
  <r>
    <n v="65"/>
    <s v="Wall Clock With Hidden Safe Box"/>
    <n v="850"/>
    <n v="1700"/>
    <n v="850"/>
    <n v="0.5"/>
    <n v="0"/>
    <n v="0"/>
    <s v="Poor"/>
    <x v="0"/>
  </r>
  <r>
    <n v="66"/>
    <s v="2PCS Ice Silk Square Cushion Cover Pillowcases - 65x65cm"/>
    <n v="1200"/>
    <n v="2400"/>
    <n v="1200"/>
    <n v="0.5"/>
    <n v="0"/>
    <n v="0"/>
    <s v="Poor"/>
    <x v="0"/>
  </r>
  <r>
    <n v="67"/>
    <s v="4M Float Switch Water Level Controller -Water Tank"/>
    <n v="475"/>
    <n v="931"/>
    <n v="456"/>
    <n v="0.49"/>
    <n v="0"/>
    <n v="0"/>
    <s v="Poor"/>
    <x v="0"/>
  </r>
  <r>
    <n v="68"/>
    <s v="Car Phone Charging Stand"/>
    <n v="671"/>
    <n v="1316"/>
    <n v="645"/>
    <n v="0.49"/>
    <n v="0"/>
    <n v="0"/>
    <s v="Poor"/>
    <x v="0"/>
  </r>
  <r>
    <n v="69"/>
    <s v="Angle Measuring Tool Full Metal Multi Angle Measuring Tool"/>
    <n v="799"/>
    <n v="1567"/>
    <n v="768"/>
    <n v="0.49"/>
    <n v="0"/>
    <n v="0"/>
    <s v="Poor"/>
    <x v="0"/>
  </r>
  <r>
    <n v="70"/>
    <s v="7PCS Silicone Thumb Knife Finger Protector Vegetable Harvesting Knife"/>
    <n v="230"/>
    <n v="450"/>
    <n v="220"/>
    <n v="0.49"/>
    <n v="0"/>
    <n v="0"/>
    <s v="Poor"/>
    <x v="0"/>
  </r>
  <r>
    <n v="71"/>
    <s v="Creative Owl Shape Keychain Black"/>
    <n v="176"/>
    <n v="345"/>
    <n v="169"/>
    <n v="0.49"/>
    <n v="0"/>
    <n v="0"/>
    <s v="Poor"/>
    <x v="0"/>
  </r>
  <r>
    <n v="72"/>
    <s v="Cartoon Car Decoration Cute Individuality For Car Home Desk"/>
    <n v="274"/>
    <n v="537"/>
    <n v="263"/>
    <n v="0.49"/>
    <n v="0"/>
    <n v="0"/>
    <s v="Poor"/>
    <x v="0"/>
  </r>
  <r>
    <n v="73"/>
    <s v="Angle Measuring Tool Full Metal Multi Angle Measuring Tool"/>
    <n v="657"/>
    <n v="1288"/>
    <n v="631"/>
    <n v="0.49"/>
    <n v="0"/>
    <n v="0"/>
    <s v="Poor"/>
    <x v="0"/>
  </r>
  <r>
    <n v="74"/>
    <s v="4 Piece Coloured Stainless Steel Kitchenware Set"/>
    <n v="248"/>
    <n v="486"/>
    <n v="238"/>
    <n v="0.49"/>
    <n v="0"/>
    <n v="0"/>
    <s v="Poor"/>
    <x v="0"/>
  </r>
  <r>
    <n v="75"/>
    <s v="Baby Early Education Shape And Color Cognitive Training Toys"/>
    <n v="525"/>
    <n v="1029"/>
    <n v="504"/>
    <n v="0.49"/>
    <n v="0"/>
    <n v="0"/>
    <s v="Poor"/>
    <x v="0"/>
  </r>
  <r>
    <n v="76"/>
    <s v="Christmas Fence Garden Decorations Outdoor For Holiday Home"/>
    <n v="699"/>
    <n v="1343"/>
    <n v="644"/>
    <n v="0.48"/>
    <n v="0"/>
    <n v="0"/>
    <s v="Poor"/>
    <x v="0"/>
  </r>
  <r>
    <n v="77"/>
    <s v="Portable Wine Table With Folding Round Table"/>
    <n v="1300"/>
    <n v="2500"/>
    <n v="1200"/>
    <n v="0.48"/>
    <n v="0"/>
    <n v="0"/>
    <s v="Poor"/>
    <x v="0"/>
  </r>
  <r>
    <n v="78"/>
    <s v="Sewing Machine Needle Threader Stitch Insertion Tool Automatic Quick Sewing"/>
    <n v="105"/>
    <n v="200"/>
    <n v="95"/>
    <n v="0.48"/>
    <n v="0"/>
    <n v="0"/>
    <s v="Poor"/>
    <x v="0"/>
  </r>
  <r>
    <n v="79"/>
    <s v="2PCS/LOT Solar LED Outdoor Intelligent Light Controlled Wall Lamp"/>
    <n v="790"/>
    <n v="1485"/>
    <n v="695"/>
    <n v="0.47"/>
    <n v="0"/>
    <n v="0"/>
    <s v="Poor"/>
    <x v="0"/>
  </r>
  <r>
    <n v="80"/>
    <s v="6 Layers Steel Pipe Assembling Dustproof Storage Shoe Cabinet"/>
    <n v="899"/>
    <n v="1699"/>
    <n v="800"/>
    <n v="0.47"/>
    <n v="0"/>
    <n v="0"/>
    <s v="Poor"/>
    <x v="0"/>
  </r>
  <r>
    <n v="81"/>
    <s v="Black Simple Water Cup Wine Coaster Anti Slip Absorbent"/>
    <n v="169"/>
    <n v="320"/>
    <n v="151"/>
    <n v="0.47"/>
    <n v="0"/>
    <n v="0"/>
    <s v="Poor"/>
    <x v="0"/>
  </r>
  <r>
    <n v="82"/>
    <s v="MultiFunctional Storage Rack Multi-layer Bookshelf"/>
    <n v="2200"/>
    <n v="4080"/>
    <n v="1880"/>
    <n v="0.46"/>
    <n v="0"/>
    <n v="0"/>
    <s v="Poor"/>
    <x v="0"/>
  </r>
  <r>
    <n v="83"/>
    <s v="Simple Metal Dog Art Sculpture Decoration For Home Office"/>
    <n v="499"/>
    <n v="900"/>
    <n v="401"/>
    <n v="0.45"/>
    <n v="0"/>
    <n v="0"/>
    <s v="Poor"/>
    <x v="0"/>
  </r>
  <r>
    <n v="84"/>
    <s v="3PCS Rotary Scraper Thermomix For Kitchen"/>
    <n v="690"/>
    <n v="1200"/>
    <n v="510"/>
    <n v="0.43"/>
    <n v="0"/>
    <n v="0"/>
    <s v="Poor"/>
    <x v="0"/>
  </r>
  <r>
    <n v="85"/>
    <s v="Multifunctional Hanging Storage Box Storage Bag (4 Layers)"/>
    <n v="630"/>
    <n v="1100"/>
    <n v="470"/>
    <n v="0.43"/>
    <n v="0"/>
    <n v="0"/>
    <s v="Poor"/>
    <x v="0"/>
  </r>
  <r>
    <n v="86"/>
    <s v="4pcs Bathroom/Kitchen Towel Rack,Roll Paper Holder,Towel Bars,Hook"/>
    <n v="1860"/>
    <n v="3220"/>
    <n v="1360"/>
    <n v="0.42"/>
    <n v="0"/>
    <n v="0"/>
    <s v="Poor"/>
    <x v="0"/>
  </r>
  <r>
    <n v="87"/>
    <s v="Balloon Insert, Birthday Party Balloon Set, PU Leather"/>
    <n v="610"/>
    <n v="1060"/>
    <n v="450"/>
    <n v="0.42"/>
    <n v="0"/>
    <n v="0"/>
    <s v="Poor"/>
    <x v="0"/>
  </r>
  <r>
    <n v="88"/>
    <s v="8in1 Screwdriver With LED Light"/>
    <n v="1080"/>
    <n v="1874"/>
    <n v="794"/>
    <n v="0.42"/>
    <n v="0"/>
    <n v="0"/>
    <s v="Poor"/>
    <x v="0"/>
  </r>
  <r>
    <n v="89"/>
    <s v="Cute Christmas Fence Garden Decorations For Holiday Home"/>
    <n v="799"/>
    <n v="1343"/>
    <n v="544"/>
    <n v="0.41"/>
    <n v="0"/>
    <n v="0"/>
    <s v="Poor"/>
    <x v="0"/>
  </r>
  <r>
    <n v="90"/>
    <s v="9pcs Gas Mask, For Painting, Dust, Formaldehyde Grinding, Polishing"/>
    <n v="1420"/>
    <n v="2420"/>
    <n v="1000"/>
    <n v="0.41"/>
    <n v="0"/>
    <n v="0"/>
    <s v="Poor"/>
    <x v="0"/>
  </r>
  <r>
    <n v="91"/>
    <s v="LASA Stainless Steel Double Wall Mount Soap Dispenser - 500ml"/>
    <n v="2750"/>
    <n v="4471"/>
    <n v="1721"/>
    <n v="0.38"/>
    <n v="0"/>
    <n v="0"/>
    <s v="Poor"/>
    <x v="1"/>
  </r>
  <r>
    <n v="92"/>
    <s v="2pcs Solar Street Light Flood Light Outdoor"/>
    <n v="1200"/>
    <n v="1950"/>
    <n v="750"/>
    <n v="0.38"/>
    <n v="0"/>
    <n v="0"/>
    <s v="Poor"/>
    <x v="1"/>
  </r>
  <r>
    <n v="93"/>
    <s v="5m Waterproof Spherical LED String Lights Outdoor Ball Chain Lights Party Lighting Decoration Adjustable"/>
    <n v="1460"/>
    <n v="2290"/>
    <n v="830"/>
    <n v="0.36"/>
    <n v="0"/>
    <n v="0"/>
    <s v="Poor"/>
    <x v="1"/>
  </r>
  <r>
    <n v="94"/>
    <s v="LED Solar Street Light-fake Camera"/>
    <n v="1150"/>
    <n v="1737"/>
    <n v="587"/>
    <n v="0.34"/>
    <n v="0"/>
    <n v="0"/>
    <s v="Poor"/>
    <x v="1"/>
  </r>
  <r>
    <n v="95"/>
    <s v="Cartoon Embroidered Mini Towel Bear Cotton Wash Cloth Hand 4pcs"/>
    <n v="1190"/>
    <n v="1810"/>
    <n v="620"/>
    <n v="0.34"/>
    <n v="0"/>
    <n v="0"/>
    <s v="Poor"/>
    <x v="1"/>
  </r>
  <r>
    <n v="96"/>
    <s v="60W Hot Melt Glue Sprayer - Efficient And Stable Glue Dispensing"/>
    <n v="1190"/>
    <n v="1785"/>
    <n v="595"/>
    <n v="0.33"/>
    <n v="0"/>
    <n v="0"/>
    <s v="Poor"/>
    <x v="1"/>
  </r>
  <r>
    <n v="97"/>
    <s v="12V 19500rpm Handheld Electric Angle Grinder Tool - UK - Yellow/Black"/>
    <n v="2799"/>
    <n v="3810"/>
    <n v="1011"/>
    <n v="0.27"/>
    <n v="0"/>
    <n v="0"/>
    <s v="Poor"/>
    <x v="1"/>
  </r>
  <r>
    <n v="98"/>
    <s v="1PC Refrigerator Food Seal Pocket Fridge Bags"/>
    <n v="198"/>
    <n v="260"/>
    <n v="62"/>
    <n v="0.24"/>
    <n v="0"/>
    <n v="0"/>
    <s v="Poor"/>
    <x v="1"/>
  </r>
  <r>
    <n v="99"/>
    <s v="Pilates Cloth Bag Waterproof Durable High Capacity Purple"/>
    <n v="299"/>
    <n v="384"/>
    <n v="85"/>
    <n v="0.22"/>
    <n v="0"/>
    <n v="0"/>
    <s v="Poor"/>
    <x v="1"/>
  </r>
  <r>
    <n v="100"/>
    <s v="Office Chair Lumbar Back Support Spine Posture Correction Pillow Car Cushion"/>
    <n v="1466"/>
    <n v="1699"/>
    <n v="233"/>
    <n v="0.14000000000000001"/>
    <n v="0"/>
    <n v="0"/>
    <s v="Poor"/>
    <x v="2"/>
  </r>
  <r>
    <n v="101"/>
    <s v="Wall-Mounted Toothbrush Toothpaste Holder With Multiple Slots"/>
    <n v="1468"/>
    <n v="1699"/>
    <n v="231"/>
    <n v="0.14000000000000001"/>
    <n v="0"/>
    <n v="0"/>
    <s v="Poor"/>
    <x v="2"/>
  </r>
  <r>
    <n v="102"/>
    <s v="Outdoor Portable Water Bottle With Medicine Box - 600ML - Black"/>
    <n v="799"/>
    <n v="900"/>
    <n v="101"/>
    <n v="0.11"/>
    <n v="0"/>
    <n v="0"/>
    <s v="Poor"/>
    <x v="2"/>
  </r>
  <r>
    <n v="103"/>
    <s v="Wall Mount Automatic Toothpaste Dispenser Toothbrush Holder Toothpaste Squeezer"/>
    <n v="1526"/>
    <n v="1660"/>
    <n v="134"/>
    <n v="0.08"/>
    <n v="0"/>
    <n v="0"/>
    <s v="Poor"/>
    <x v="2"/>
  </r>
  <r>
    <n v="104"/>
    <s v="Cushion Silicone Butt Cushion Summer Ice Cushion Honeycomb Gel Cushion"/>
    <n v="1732"/>
    <n v="1799"/>
    <n v="67"/>
    <n v="0.04"/>
    <n v="0"/>
    <n v="0"/>
    <s v="Poor"/>
    <x v="2"/>
  </r>
  <r>
    <n v="105"/>
    <s v="Metal Wall Clock Silver Dial Crystal Jewelry Round Home Decoration Wall Clock"/>
    <n v="3546"/>
    <n v="3699"/>
    <n v="153"/>
    <n v="0.04"/>
    <n v="0"/>
    <n v="0"/>
    <s v="Poor"/>
    <x v="2"/>
  </r>
  <r>
    <n v="106"/>
    <s v="Multi-purpose Rice Drainage Basket And Fruit And Vegetable Drainage Sieve"/>
    <n v="1459"/>
    <n v="1499"/>
    <n v="40"/>
    <n v="0.03"/>
    <n v="0"/>
    <n v="0"/>
    <s v="Poor"/>
    <x v="2"/>
  </r>
  <r>
    <n v="107"/>
    <s v="Shower Cap Wide Elastic Band Cover Reusable Bashroom Cap"/>
    <n v="2132"/>
    <n v="2169"/>
    <n v="37"/>
    <n v="0.02"/>
    <n v="0"/>
    <n v="0"/>
    <s v="Poor"/>
    <x v="2"/>
  </r>
  <r>
    <n v="108"/>
    <s v="Pen Grips For Kids Pen Grip Posture Correction Tool For Kids"/>
    <n v="1660"/>
    <n v="1699"/>
    <n v="39"/>
    <n v="0.02"/>
    <n v="0"/>
    <n v="0"/>
    <s v="Poor"/>
    <x v="2"/>
  </r>
  <r>
    <n v="109"/>
    <s v="2 Pairs Cowhide Split Leather Work Gloves.32â„‰ Or Above Welding Gloves"/>
    <n v="1666"/>
    <n v="1699"/>
    <n v="33"/>
    <n v="0.02"/>
    <n v="0"/>
    <n v="0"/>
    <s v="Poor"/>
    <x v="2"/>
  </r>
  <r>
    <n v="110"/>
    <s v="Portable Soap Dispenser Kitchen Detergent Press Box Kitchen Tools"/>
    <n v="1462"/>
    <n v="1499"/>
    <n v="37"/>
    <n v="0.02"/>
    <n v="0"/>
    <n v="0"/>
    <s v="Poor"/>
    <x v="2"/>
  </r>
  <r>
    <n v="111"/>
    <s v="Shower Nozzle Cleaning Unclogging Needle Mini Crevice Small Hole Cleaning Brush"/>
    <n v="1658"/>
    <n v="1699"/>
    <n v="41"/>
    <n v="0.02"/>
    <n v="0"/>
    <n v="0"/>
    <s v="Poor"/>
    <x v="2"/>
  </r>
  <r>
    <n v="112"/>
    <s v="Thickening Multipurpose Non Stick Easy To Clean Heat Resistant Spoon Pad"/>
    <n v="1768"/>
    <n v="1799"/>
    <n v="31"/>
    <n v="0.02"/>
    <n v="0"/>
    <n v="0"/>
    <s v="Poor"/>
    <x v="2"/>
  </r>
  <r>
    <n v="113"/>
    <s v="24 Grid Wall-mounted Sundries Organiser Fabric Closet Bag Storage Rack"/>
    <n v="1875"/>
    <n v="1899"/>
    <n v="24"/>
    <n v="0.01"/>
    <n v="0"/>
    <n v="0"/>
    <s v="Poo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9D6B8-4F32-4E92-AC27-2E9FF80DDDC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C7" firstHeaderRow="0" firstDataRow="1" firstDataCol="1"/>
  <pivotFields count="9">
    <pivotField showAll="0"/>
    <pivotField showAll="0"/>
    <pivotField showAll="0"/>
    <pivotField showAll="0"/>
    <pivotField dataField="1" showAll="0"/>
    <pivotField showAll="0"/>
    <pivotField dataField="1" showAll="0"/>
    <pivotField showAll="0"/>
    <pivotField axis="axisRow" showAll="0">
      <items count="5">
        <item x="1"/>
        <item x="2"/>
        <item x="0"/>
        <item h="1" x="3"/>
        <item t="default"/>
      </items>
    </pivotField>
  </pivotFields>
  <rowFields count="1">
    <field x="8"/>
  </rowFields>
  <rowItems count="4">
    <i>
      <x/>
    </i>
    <i>
      <x v="1"/>
    </i>
    <i>
      <x v="2"/>
    </i>
    <i t="grand">
      <x/>
    </i>
  </rowItems>
  <colFields count="1">
    <field x="-2"/>
  </colFields>
  <colItems count="2">
    <i>
      <x/>
    </i>
    <i i="1">
      <x v="1"/>
    </i>
  </colItems>
  <dataFields count="2">
    <dataField name="Average of Ratings" fld="6" subtotal="average" baseField="8" baseItem="0" numFmtId="165"/>
    <dataField name="Average of Discount Percentage" fld="4" subtotal="average" baseField="8"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320D76-E359-4A0D-8CB3-4F066C4AD7CA}"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5:C29" firstHeaderRow="0" firstDataRow="1" firstDataCol="1"/>
  <pivotFields count="9">
    <pivotField showAll="0">
      <items count="111">
        <item x="23"/>
        <item x="22"/>
        <item x="10"/>
        <item x="21"/>
        <item x="37"/>
        <item x="12"/>
        <item x="47"/>
        <item x="93"/>
        <item x="39"/>
        <item x="14"/>
        <item x="94"/>
        <item x="105"/>
        <item x="33"/>
        <item x="109"/>
        <item x="65"/>
        <item x="88"/>
        <item x="76"/>
        <item x="43"/>
        <item x="51"/>
        <item x="16"/>
        <item x="80"/>
        <item x="40"/>
        <item x="71"/>
        <item x="7"/>
        <item x="66"/>
        <item x="82"/>
        <item x="50"/>
        <item x="30"/>
        <item x="19"/>
        <item x="11"/>
        <item x="89"/>
        <item x="55"/>
        <item x="58"/>
        <item x="77"/>
        <item x="92"/>
        <item x="69"/>
        <item x="53"/>
        <item x="84"/>
        <item x="86"/>
        <item x="49"/>
        <item x="68"/>
        <item x="2"/>
        <item x="54"/>
        <item x="72"/>
        <item x="83"/>
        <item x="4"/>
        <item x="78"/>
        <item x="63"/>
        <item x="67"/>
        <item x="70"/>
        <item x="91"/>
        <item x="62"/>
        <item x="73"/>
        <item x="1"/>
        <item x="59"/>
        <item x="100"/>
        <item x="85"/>
        <item x="35"/>
        <item x="5"/>
        <item x="56"/>
        <item x="15"/>
        <item x="26"/>
        <item x="24"/>
        <item x="32"/>
        <item x="36"/>
        <item x="48"/>
        <item x="6"/>
        <item x="44"/>
        <item x="28"/>
        <item x="0"/>
        <item x="20"/>
        <item x="8"/>
        <item x="87"/>
        <item x="27"/>
        <item x="34"/>
        <item x="90"/>
        <item x="18"/>
        <item x="45"/>
        <item x="31"/>
        <item x="101"/>
        <item x="61"/>
        <item x="29"/>
        <item x="81"/>
        <item x="79"/>
        <item x="102"/>
        <item x="41"/>
        <item x="96"/>
        <item x="98"/>
        <item x="3"/>
        <item x="104"/>
        <item x="95"/>
        <item x="9"/>
        <item x="17"/>
        <item x="106"/>
        <item x="38"/>
        <item x="74"/>
        <item x="25"/>
        <item x="75"/>
        <item x="103"/>
        <item x="107"/>
        <item x="60"/>
        <item x="108"/>
        <item x="46"/>
        <item x="64"/>
        <item x="99"/>
        <item x="57"/>
        <item x="97"/>
        <item x="52"/>
        <item x="13"/>
        <item x="42"/>
        <item t="default"/>
      </items>
    </pivotField>
    <pivotField showAll="0"/>
    <pivotField showAll="0"/>
    <pivotField numFmtId="3" showAll="0"/>
    <pivotField dataField="1" numFmtId="9" showAll="0"/>
    <pivotField dataField="1" showAll="0"/>
    <pivotField showAll="0"/>
    <pivotField axis="axisRow" showAll="0">
      <items count="4">
        <item x="1"/>
        <item x="0"/>
        <item x="2"/>
        <item t="default"/>
      </items>
    </pivotField>
    <pivotField showAll="0">
      <items count="4">
        <item x="0"/>
        <item x="2"/>
        <item x="1"/>
        <item t="default"/>
      </items>
    </pivotField>
  </pivotFields>
  <rowFields count="1">
    <field x="7"/>
  </rowFields>
  <rowItems count="4">
    <i>
      <x/>
    </i>
    <i>
      <x v="1"/>
    </i>
    <i>
      <x v="2"/>
    </i>
    <i t="grand">
      <x/>
    </i>
  </rowItems>
  <colFields count="1">
    <field x="-2"/>
  </colFields>
  <colItems count="2">
    <i>
      <x/>
    </i>
    <i i="1">
      <x v="1"/>
    </i>
  </colItems>
  <dataFields count="2">
    <dataField name="Average of Discount Percentage" fld="4" subtotal="average" baseField="7" baseItem="0" numFmtId="2"/>
    <dataField name="Average of Review" fld="5" subtotal="average" baseField="7"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1A51C-4EB5-4452-B2A1-F4B13B1E63A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B16:C20" firstHeaderRow="1" firstDataRow="1" firstDataCol="1"/>
  <pivotFields count="9">
    <pivotField showAll="0"/>
    <pivotField showAll="0"/>
    <pivotField showAll="0"/>
    <pivotField showAll="0"/>
    <pivotField showAll="0"/>
    <pivotField showAll="0"/>
    <pivotField showAll="0"/>
    <pivotField axis="axisRow" dataField="1" showAll="0">
      <items count="5">
        <item x="1"/>
        <item x="0"/>
        <item x="2"/>
        <item h="1" x="3"/>
        <item t="default"/>
      </items>
    </pivotField>
    <pivotField showAll="0"/>
  </pivotFields>
  <rowFields count="1">
    <field x="7"/>
  </rowFields>
  <rowItems count="4">
    <i>
      <x/>
    </i>
    <i>
      <x v="1"/>
    </i>
    <i>
      <x v="2"/>
    </i>
    <i t="grand">
      <x/>
    </i>
  </rowItems>
  <colItems count="1">
    <i/>
  </colItems>
  <dataFields count="1">
    <dataField name="Count of Rating category" fld="7" subtotal="count" baseField="0" baseItem="0"/>
  </dataFields>
  <chartFormats count="1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7" count="1" selected="0">
            <x v="0"/>
          </reference>
        </references>
      </pivotArea>
    </chartFormat>
    <chartFormat chart="9" format="6">
      <pivotArea type="data" outline="0" fieldPosition="0">
        <references count="2">
          <reference field="4294967294" count="1" selected="0">
            <x v="0"/>
          </reference>
          <reference field="7" count="1" selected="0">
            <x v="1"/>
          </reference>
        </references>
      </pivotArea>
    </chartFormat>
    <chartFormat chart="9" format="7">
      <pivotArea type="data" outline="0" fieldPosition="0">
        <references count="2">
          <reference field="4294967294" count="1" selected="0">
            <x v="0"/>
          </reference>
          <reference field="7"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 chart="11" format="10">
      <pivotArea type="data" outline="0" fieldPosition="0">
        <references count="2">
          <reference field="4294967294" count="1" selected="0">
            <x v="0"/>
          </reference>
          <reference field="7" count="1" selected="0">
            <x v="1"/>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BDAE1E-48D3-4500-AF28-BCBBC46665F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M7:O11" firstHeaderRow="0" firstDataRow="1" firstDataCol="1"/>
  <pivotFields count="9">
    <pivotField showAll="0">
      <items count="112">
        <item x="39"/>
        <item x="38"/>
        <item x="11"/>
        <item x="0"/>
        <item x="27"/>
        <item x="31"/>
        <item x="62"/>
        <item x="58"/>
        <item x="9"/>
        <item x="6"/>
        <item x="102"/>
        <item x="81"/>
        <item x="5"/>
        <item x="101"/>
        <item x="92"/>
        <item x="48"/>
        <item x="74"/>
        <item x="67"/>
        <item x="66"/>
        <item x="19"/>
        <item x="75"/>
        <item x="20"/>
        <item x="95"/>
        <item x="12"/>
        <item x="41"/>
        <item x="21"/>
        <item x="59"/>
        <item x="28"/>
        <item x="34"/>
        <item x="33"/>
        <item x="80"/>
        <item x="61"/>
        <item x="107"/>
        <item x="91"/>
        <item x="46"/>
        <item x="77"/>
        <item x="72"/>
        <item x="98"/>
        <item x="100"/>
        <item x="68"/>
        <item x="57"/>
        <item x="15"/>
        <item x="65"/>
        <item x="97"/>
        <item x="43"/>
        <item x="79"/>
        <item x="109"/>
        <item x="50"/>
        <item x="47"/>
        <item x="84"/>
        <item x="104"/>
        <item x="45"/>
        <item x="56"/>
        <item x="36"/>
        <item x="49"/>
        <item x="76"/>
        <item x="54"/>
        <item x="7"/>
        <item x="35"/>
        <item x="73"/>
        <item x="25"/>
        <item x="30"/>
        <item x="23"/>
        <item x="10"/>
        <item x="82"/>
        <item x="63"/>
        <item x="99"/>
        <item x="69"/>
        <item x="24"/>
        <item x="17"/>
        <item x="13"/>
        <item x="8"/>
        <item x="40"/>
        <item x="32"/>
        <item x="22"/>
        <item x="103"/>
        <item x="18"/>
        <item x="78"/>
        <item x="1"/>
        <item x="96"/>
        <item x="42"/>
        <item x="14"/>
        <item x="87"/>
        <item x="29"/>
        <item x="53"/>
        <item x="60"/>
        <item x="83"/>
        <item x="85"/>
        <item x="16"/>
        <item x="51"/>
        <item x="52"/>
        <item x="4"/>
        <item x="2"/>
        <item x="94"/>
        <item x="26"/>
        <item x="89"/>
        <item x="37"/>
        <item x="90"/>
        <item x="44"/>
        <item x="105"/>
        <item x="55"/>
        <item x="106"/>
        <item x="64"/>
        <item x="88"/>
        <item x="93"/>
        <item x="108"/>
        <item x="86"/>
        <item x="70"/>
        <item x="3"/>
        <item x="71"/>
        <item x="110"/>
        <item t="default"/>
      </items>
    </pivotField>
    <pivotField showAll="0"/>
    <pivotField showAll="0"/>
    <pivotField showAll="0"/>
    <pivotField showAll="0"/>
    <pivotField dataField="1" showAll="0"/>
    <pivotField dataField="1" showAll="0"/>
    <pivotField showAll="0"/>
    <pivotField axis="axisRow" showAll="0">
      <items count="5">
        <item x="1"/>
        <item x="2"/>
        <item x="0"/>
        <item h="1" x="3"/>
        <item t="default"/>
      </items>
    </pivotField>
  </pivotFields>
  <rowFields count="1">
    <field x="8"/>
  </rowFields>
  <rowItems count="4">
    <i>
      <x/>
    </i>
    <i>
      <x v="1"/>
    </i>
    <i>
      <x v="2"/>
    </i>
    <i t="grand">
      <x/>
    </i>
  </rowItems>
  <colFields count="1">
    <field x="-2"/>
  </colFields>
  <colItems count="2">
    <i>
      <x/>
    </i>
    <i i="1">
      <x v="1"/>
    </i>
  </colItems>
  <dataFields count="2">
    <dataField name="Avg of Ratings" fld="6" subtotal="average" baseField="8" baseItem="0" numFmtId="165"/>
    <dataField name="Avg of Review" fld="5" subtotal="average" baseField="8"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6EC666-C505-4F39-AA70-9C634C21FCDD}"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18:B29" firstHeaderRow="1" firstDataRow="1" firstDataCol="1"/>
  <pivotFields count="9">
    <pivotField axis="axisRow" showAll="0" measureFilter="1" sortType="descending">
      <items count="111">
        <item x="23"/>
        <item x="22"/>
        <item x="10"/>
        <item x="21"/>
        <item x="37"/>
        <item x="12"/>
        <item x="47"/>
        <item x="93"/>
        <item x="39"/>
        <item x="14"/>
        <item x="94"/>
        <item x="105"/>
        <item x="33"/>
        <item x="109"/>
        <item x="65"/>
        <item x="88"/>
        <item x="76"/>
        <item x="43"/>
        <item x="51"/>
        <item x="16"/>
        <item x="80"/>
        <item x="40"/>
        <item x="71"/>
        <item x="7"/>
        <item x="66"/>
        <item x="82"/>
        <item x="50"/>
        <item x="30"/>
        <item x="19"/>
        <item x="11"/>
        <item x="89"/>
        <item x="55"/>
        <item x="58"/>
        <item x="77"/>
        <item x="92"/>
        <item x="69"/>
        <item x="53"/>
        <item x="84"/>
        <item x="86"/>
        <item x="49"/>
        <item x="68"/>
        <item x="2"/>
        <item x="54"/>
        <item x="72"/>
        <item x="83"/>
        <item x="4"/>
        <item x="78"/>
        <item x="63"/>
        <item x="67"/>
        <item x="70"/>
        <item x="91"/>
        <item x="62"/>
        <item x="73"/>
        <item x="1"/>
        <item x="59"/>
        <item x="100"/>
        <item x="85"/>
        <item x="35"/>
        <item x="5"/>
        <item x="56"/>
        <item x="15"/>
        <item x="26"/>
        <item x="24"/>
        <item x="32"/>
        <item x="36"/>
        <item x="48"/>
        <item x="6"/>
        <item x="44"/>
        <item x="28"/>
        <item x="0"/>
        <item x="20"/>
        <item x="8"/>
        <item x="87"/>
        <item x="27"/>
        <item x="34"/>
        <item x="90"/>
        <item x="18"/>
        <item x="45"/>
        <item x="31"/>
        <item x="101"/>
        <item x="61"/>
        <item x="29"/>
        <item x="81"/>
        <item x="79"/>
        <item x="102"/>
        <item x="41"/>
        <item x="96"/>
        <item x="98"/>
        <item x="3"/>
        <item x="104"/>
        <item x="95"/>
        <item x="9"/>
        <item x="17"/>
        <item x="106"/>
        <item x="38"/>
        <item x="74"/>
        <item x="25"/>
        <item x="75"/>
        <item x="103"/>
        <item x="107"/>
        <item x="60"/>
        <item x="108"/>
        <item x="46"/>
        <item x="64"/>
        <item x="99"/>
        <item x="57"/>
        <item x="97"/>
        <item x="52"/>
        <item x="13"/>
        <item x="42"/>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numFmtId="9" showAll="0"/>
    <pivotField dataField="1" showAll="0"/>
    <pivotField showAll="0"/>
    <pivotField showAll="0">
      <items count="4">
        <item x="1"/>
        <item x="0"/>
        <item x="2"/>
        <item t="default"/>
      </items>
    </pivotField>
    <pivotField showAll="0">
      <items count="4">
        <item x="0"/>
        <item x="2"/>
        <item x="1"/>
        <item t="default"/>
      </items>
    </pivotField>
  </pivotFields>
  <rowFields count="1">
    <field x="0"/>
  </rowFields>
  <rowItems count="11">
    <i>
      <x v="6"/>
    </i>
    <i>
      <x v="9"/>
    </i>
    <i>
      <x v="60"/>
    </i>
    <i>
      <x v="19"/>
    </i>
    <i>
      <x v="2"/>
    </i>
    <i>
      <x v="96"/>
    </i>
    <i>
      <x v="28"/>
    </i>
    <i>
      <x v="92"/>
    </i>
    <i>
      <x v="29"/>
    </i>
    <i>
      <x v="27"/>
    </i>
    <i t="grand">
      <x/>
    </i>
  </rowItems>
  <colItems count="1">
    <i/>
  </colItems>
  <dataFields count="1">
    <dataField name="Sum of Review" fld="5"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B81CC8-E368-4A85-9606-DA4B579297EF}"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B14" firstHeaderRow="1" firstDataRow="1" firstDataCol="1"/>
  <pivotFields count="9">
    <pivotField axis="axisRow" showAll="0" measureFilter="1" sortType="descending">
      <items count="111">
        <item x="23"/>
        <item x="22"/>
        <item x="10"/>
        <item x="21"/>
        <item x="37"/>
        <item x="12"/>
        <item x="47"/>
        <item x="93"/>
        <item x="39"/>
        <item x="14"/>
        <item x="94"/>
        <item x="105"/>
        <item x="33"/>
        <item x="109"/>
        <item x="65"/>
        <item x="88"/>
        <item x="76"/>
        <item x="43"/>
        <item x="51"/>
        <item x="16"/>
        <item x="80"/>
        <item x="40"/>
        <item x="71"/>
        <item x="7"/>
        <item x="66"/>
        <item x="82"/>
        <item x="50"/>
        <item x="30"/>
        <item x="19"/>
        <item x="11"/>
        <item x="89"/>
        <item x="55"/>
        <item x="58"/>
        <item x="77"/>
        <item x="92"/>
        <item x="69"/>
        <item x="53"/>
        <item x="84"/>
        <item x="86"/>
        <item x="49"/>
        <item x="68"/>
        <item x="2"/>
        <item x="54"/>
        <item x="72"/>
        <item x="83"/>
        <item x="4"/>
        <item x="78"/>
        <item x="63"/>
        <item x="67"/>
        <item x="70"/>
        <item x="91"/>
        <item x="62"/>
        <item x="73"/>
        <item x="1"/>
        <item x="59"/>
        <item x="100"/>
        <item x="85"/>
        <item x="35"/>
        <item x="5"/>
        <item x="56"/>
        <item x="15"/>
        <item x="26"/>
        <item x="24"/>
        <item x="32"/>
        <item x="36"/>
        <item x="48"/>
        <item x="6"/>
        <item x="44"/>
        <item x="28"/>
        <item x="0"/>
        <item x="20"/>
        <item x="8"/>
        <item x="87"/>
        <item x="27"/>
        <item x="34"/>
        <item x="90"/>
        <item x="18"/>
        <item x="45"/>
        <item x="31"/>
        <item x="101"/>
        <item x="61"/>
        <item x="29"/>
        <item x="81"/>
        <item x="79"/>
        <item x="102"/>
        <item x="41"/>
        <item x="96"/>
        <item x="98"/>
        <item x="3"/>
        <item x="104"/>
        <item x="95"/>
        <item x="9"/>
        <item x="17"/>
        <item x="106"/>
        <item x="38"/>
        <item x="74"/>
        <item x="25"/>
        <item x="75"/>
        <item x="103"/>
        <item x="107"/>
        <item x="60"/>
        <item x="108"/>
        <item x="46"/>
        <item x="64"/>
        <item x="99"/>
        <item x="57"/>
        <item x="97"/>
        <item x="52"/>
        <item x="13"/>
        <item x="42"/>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numFmtId="9" showAll="0"/>
    <pivotField showAll="0"/>
    <pivotField dataField="1" showAll="0"/>
    <pivotField showAll="0">
      <items count="4">
        <item x="1"/>
        <item x="0"/>
        <item x="2"/>
        <item t="default"/>
      </items>
    </pivotField>
    <pivotField showAll="0">
      <items count="4">
        <item x="0"/>
        <item x="2"/>
        <item x="1"/>
        <item t="default"/>
      </items>
    </pivotField>
  </pivotFields>
  <rowFields count="1">
    <field x="0"/>
  </rowFields>
  <rowItems count="11">
    <i>
      <x v="53"/>
    </i>
    <i>
      <x v="69"/>
    </i>
    <i>
      <x v="66"/>
    </i>
    <i>
      <x v="41"/>
    </i>
    <i>
      <x v="88"/>
    </i>
    <i>
      <x v="45"/>
    </i>
    <i>
      <x v="58"/>
    </i>
    <i>
      <x v="71"/>
    </i>
    <i>
      <x v="91"/>
    </i>
    <i>
      <x v="23"/>
    </i>
    <i t="grand">
      <x/>
    </i>
  </rowItems>
  <colItems count="1">
    <i/>
  </colItems>
  <dataFields count="1">
    <dataField name="Average of Ratings" fld="6" subtotal="average" baseField="0" baseItem="0"/>
  </dataFields>
  <chartFormats count="4">
    <chartFormat chart="6"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C5ADF9-4794-4BFA-9243-B53E9E3BEA18}"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62:B66" firstHeaderRow="1" firstDataRow="1" firstDataCol="1"/>
  <pivotFields count="9">
    <pivotField dataField="1" showAll="0"/>
    <pivotField showAll="0"/>
    <pivotField showAll="0"/>
    <pivotField numFmtId="3" showAll="0"/>
    <pivotField numFmtId="9" showAll="0"/>
    <pivotField showAll="0"/>
    <pivotField showAll="0"/>
    <pivotField showAll="0">
      <items count="4">
        <item x="1"/>
        <item x="0"/>
        <item x="2"/>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8"/>
  </rowFields>
  <rowItems count="4">
    <i>
      <x/>
    </i>
    <i>
      <x v="2"/>
    </i>
    <i>
      <x v="1"/>
    </i>
    <i t="grand">
      <x/>
    </i>
  </rowItems>
  <colItems count="1">
    <i/>
  </colItems>
  <dataFields count="1">
    <dataField name="Count of Product" fld="0" subtotal="count" baseField="0" baseItem="0"/>
  </dataFields>
  <chartFormats count="17">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8" count="1" selected="0">
            <x v="0"/>
          </reference>
        </references>
      </pivotArea>
    </chartFormat>
    <chartFormat chart="12" format="7">
      <pivotArea type="data" outline="0" fieldPosition="0">
        <references count="2">
          <reference field="4294967294" count="1" selected="0">
            <x v="0"/>
          </reference>
          <reference field="8" count="1" selected="0">
            <x v="2"/>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 chart="8" format="1">
      <pivotArea type="data" outline="0" fieldPosition="0">
        <references count="2">
          <reference field="4294967294" count="1" selected="0">
            <x v="0"/>
          </reference>
          <reference field="8" count="1" selected="0">
            <x v="0"/>
          </reference>
        </references>
      </pivotArea>
    </chartFormat>
    <chartFormat chart="8" format="2">
      <pivotArea type="data" outline="0" fieldPosition="0">
        <references count="2">
          <reference field="4294967294" count="1" selected="0">
            <x v="0"/>
          </reference>
          <reference field="8" count="1" selected="0">
            <x v="2"/>
          </reference>
        </references>
      </pivotArea>
    </chartFormat>
    <chartFormat chart="8"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0105F2-2EF7-4304-AF0D-E45E621C093D}"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2:B76" firstHeaderRow="1" firstDataRow="1" firstDataCol="1"/>
  <pivotFields count="10">
    <pivotField showAll="0"/>
    <pivotField showAll="0"/>
    <pivotField showAll="0"/>
    <pivotField showAll="0"/>
    <pivotField numFmtId="3" showAll="0"/>
    <pivotField numFmtId="9" showAll="0"/>
    <pivotField showAll="0"/>
    <pivotField dataField="1" showAll="0"/>
    <pivotField showAll="0"/>
    <pivotField axis="axisRow" showAll="0">
      <items count="4">
        <item x="0"/>
        <item x="2"/>
        <item x="1"/>
        <item t="default"/>
      </items>
    </pivotField>
  </pivotFields>
  <rowFields count="1">
    <field x="9"/>
  </rowFields>
  <rowItems count="4">
    <i>
      <x/>
    </i>
    <i>
      <x v="1"/>
    </i>
    <i>
      <x v="2"/>
    </i>
    <i t="grand">
      <x/>
    </i>
  </rowItems>
  <colItems count="1">
    <i/>
  </colItems>
  <dataFields count="1">
    <dataField name="Average of Ratings" fld="7" subtotal="average" baseField="9"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509CCE-E4DA-4D4E-9FDD-617DB18AB273}"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6:N7" firstHeaderRow="0" firstDataRow="1" firstDataCol="0"/>
  <pivotFields count="10">
    <pivotField dataField="1" showAll="0"/>
    <pivotField showAll="0"/>
    <pivotField showAll="0"/>
    <pivotField showAll="0"/>
    <pivotField numFmtId="3" showAll="0"/>
    <pivotField dataField="1" numFmtId="9" showAll="0"/>
    <pivotField dataField="1" showAll="0"/>
    <pivotField dataField="1" showAll="0"/>
    <pivotField showAll="0"/>
    <pivotField showAll="0"/>
  </pivotFields>
  <rowItems count="1">
    <i/>
  </rowItems>
  <colFields count="1">
    <field x="-2"/>
  </colFields>
  <colItems count="4">
    <i>
      <x/>
    </i>
    <i i="1">
      <x v="1"/>
    </i>
    <i i="2">
      <x v="2"/>
    </i>
    <i i="3">
      <x v="3"/>
    </i>
  </colItems>
  <dataFields count="4">
    <dataField name="Average of Ratings" fld="7" subtotal="average" baseField="0" baseItem="1" numFmtId="2"/>
    <dataField name="Average of Discount Percentage" fld="5" subtotal="average" baseField="0" baseItem="1" numFmtId="10"/>
    <dataField name="Count of Product ID" fld="0" subtotal="count" baseField="0" baseItem="1929712656"/>
    <dataField name="Sum of Reviews" fld="6"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670FA4-27EE-409C-B283-8D161AD546DC}"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47:B51" firstHeaderRow="1" firstDataRow="1" firstDataCol="1"/>
  <pivotFields count="9">
    <pivotField dataField="1" showAll="0"/>
    <pivotField showAll="0"/>
    <pivotField showAll="0"/>
    <pivotField numFmtId="3" showAll="0"/>
    <pivotField numFmtId="9"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s>
  <rowFields count="1">
    <field x="7"/>
  </rowFields>
  <rowItems count="4">
    <i>
      <x v="2"/>
    </i>
    <i>
      <x v="1"/>
    </i>
    <i>
      <x/>
    </i>
    <i t="grand">
      <x/>
    </i>
  </rowItems>
  <colItems count="1">
    <i/>
  </colItems>
  <dataFields count="1">
    <dataField name="Count of Product" fld="0" subtotal="count" baseField="0" baseItem="0"/>
  </dataField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7FC872-EB8D-4C9C-9B17-789138E30272}"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1:B42" firstHeaderRow="1" firstDataRow="1" firstDataCol="1"/>
  <pivotFields count="9">
    <pivotField axis="axisRow" showAll="0" measureFilter="1" sortType="descending">
      <items count="111">
        <item x="23"/>
        <item x="22"/>
        <item x="10"/>
        <item x="21"/>
        <item x="37"/>
        <item x="12"/>
        <item x="47"/>
        <item x="93"/>
        <item x="39"/>
        <item x="14"/>
        <item x="94"/>
        <item x="105"/>
        <item x="33"/>
        <item x="109"/>
        <item x="65"/>
        <item x="88"/>
        <item x="76"/>
        <item x="43"/>
        <item x="51"/>
        <item x="16"/>
        <item x="80"/>
        <item x="40"/>
        <item x="71"/>
        <item x="7"/>
        <item x="66"/>
        <item x="82"/>
        <item x="50"/>
        <item x="30"/>
        <item x="19"/>
        <item x="11"/>
        <item x="89"/>
        <item x="55"/>
        <item x="58"/>
        <item x="77"/>
        <item x="92"/>
        <item x="69"/>
        <item x="53"/>
        <item x="84"/>
        <item x="86"/>
        <item x="49"/>
        <item x="68"/>
        <item x="2"/>
        <item x="54"/>
        <item x="72"/>
        <item x="83"/>
        <item x="4"/>
        <item x="78"/>
        <item x="63"/>
        <item x="67"/>
        <item x="70"/>
        <item x="91"/>
        <item x="62"/>
        <item x="73"/>
        <item x="1"/>
        <item x="59"/>
        <item x="100"/>
        <item x="85"/>
        <item x="35"/>
        <item x="5"/>
        <item x="56"/>
        <item x="15"/>
        <item x="26"/>
        <item x="24"/>
        <item x="32"/>
        <item x="36"/>
        <item x="48"/>
        <item x="6"/>
        <item x="44"/>
        <item x="28"/>
        <item x="0"/>
        <item x="20"/>
        <item x="8"/>
        <item x="87"/>
        <item x="27"/>
        <item x="34"/>
        <item x="90"/>
        <item x="18"/>
        <item x="45"/>
        <item x="31"/>
        <item x="101"/>
        <item x="61"/>
        <item x="29"/>
        <item x="81"/>
        <item x="79"/>
        <item x="102"/>
        <item x="41"/>
        <item x="96"/>
        <item x="98"/>
        <item x="3"/>
        <item x="104"/>
        <item x="95"/>
        <item x="9"/>
        <item x="17"/>
        <item x="106"/>
        <item x="38"/>
        <item x="74"/>
        <item x="25"/>
        <item x="75"/>
        <item x="103"/>
        <item x="107"/>
        <item x="60"/>
        <item x="108"/>
        <item x="46"/>
        <item x="64"/>
        <item x="99"/>
        <item x="57"/>
        <item x="97"/>
        <item x="52"/>
        <item x="13"/>
        <item x="42"/>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dataField="1" numFmtId="9" showAll="0"/>
    <pivotField showAll="0"/>
    <pivotField showAll="0"/>
    <pivotField showAll="0">
      <items count="4">
        <item x="1"/>
        <item x="0"/>
        <item x="2"/>
        <item t="default"/>
      </items>
    </pivotField>
    <pivotField showAll="0">
      <items count="4">
        <item x="0"/>
        <item x="2"/>
        <item x="1"/>
        <item t="default"/>
      </items>
    </pivotField>
  </pivotFields>
  <rowFields count="1">
    <field x="0"/>
  </rowFields>
  <rowItems count="11">
    <i>
      <x v="32"/>
    </i>
    <i>
      <x v="71"/>
    </i>
    <i>
      <x v="31"/>
    </i>
    <i>
      <x v="54"/>
    </i>
    <i>
      <x v="68"/>
    </i>
    <i>
      <x v="85"/>
    </i>
    <i>
      <x v="53"/>
    </i>
    <i>
      <x v="21"/>
    </i>
    <i>
      <x v="61"/>
    </i>
    <i>
      <x v="65"/>
    </i>
    <i t="grand">
      <x/>
    </i>
  </rowItems>
  <colItems count="1">
    <i/>
  </colItems>
  <dataFields count="1">
    <dataField name="Average of Discount Percentage" fld="4" subtotal="average" baseField="0" baseItem="71" numFmtId="9"/>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427DE9-474F-4D57-A436-8237F65B7DC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D3" firstHeaderRow="0" firstDataRow="1" firstDataCol="0"/>
  <pivotFields count="9">
    <pivotField dataField="1" showAll="0">
      <items count="112">
        <item x="39"/>
        <item x="38"/>
        <item x="11"/>
        <item x="0"/>
        <item x="27"/>
        <item x="31"/>
        <item x="62"/>
        <item x="58"/>
        <item x="9"/>
        <item x="6"/>
        <item x="102"/>
        <item x="81"/>
        <item x="5"/>
        <item x="101"/>
        <item x="92"/>
        <item x="48"/>
        <item x="74"/>
        <item x="67"/>
        <item x="66"/>
        <item x="19"/>
        <item x="75"/>
        <item x="20"/>
        <item x="95"/>
        <item x="12"/>
        <item x="41"/>
        <item x="21"/>
        <item x="59"/>
        <item x="28"/>
        <item x="34"/>
        <item x="33"/>
        <item x="80"/>
        <item x="61"/>
        <item x="107"/>
        <item x="91"/>
        <item x="46"/>
        <item x="77"/>
        <item x="72"/>
        <item x="98"/>
        <item x="100"/>
        <item x="68"/>
        <item x="57"/>
        <item x="15"/>
        <item x="65"/>
        <item x="97"/>
        <item x="43"/>
        <item x="79"/>
        <item x="109"/>
        <item x="50"/>
        <item x="47"/>
        <item x="84"/>
        <item x="104"/>
        <item x="45"/>
        <item x="56"/>
        <item x="36"/>
        <item x="49"/>
        <item x="76"/>
        <item x="54"/>
        <item x="7"/>
        <item x="35"/>
        <item x="73"/>
        <item x="25"/>
        <item x="30"/>
        <item x="23"/>
        <item x="10"/>
        <item x="82"/>
        <item x="63"/>
        <item x="99"/>
        <item x="69"/>
        <item x="24"/>
        <item x="17"/>
        <item x="13"/>
        <item x="8"/>
        <item x="40"/>
        <item x="32"/>
        <item x="22"/>
        <item x="103"/>
        <item x="18"/>
        <item x="78"/>
        <item x="1"/>
        <item x="96"/>
        <item x="42"/>
        <item x="14"/>
        <item x="87"/>
        <item x="29"/>
        <item x="53"/>
        <item x="60"/>
        <item x="83"/>
        <item x="85"/>
        <item x="16"/>
        <item x="51"/>
        <item x="52"/>
        <item x="4"/>
        <item x="2"/>
        <item x="94"/>
        <item x="26"/>
        <item x="89"/>
        <item x="37"/>
        <item x="90"/>
        <item x="44"/>
        <item x="105"/>
        <item x="55"/>
        <item x="106"/>
        <item x="64"/>
        <item x="88"/>
        <item x="93"/>
        <item x="108"/>
        <item x="86"/>
        <item x="70"/>
        <item x="3"/>
        <item x="71"/>
        <item x="110"/>
        <item t="default"/>
      </items>
    </pivotField>
    <pivotField showAll="0"/>
    <pivotField showAll="0"/>
    <pivotField showAll="0"/>
    <pivotField dataField="1" showAll="0"/>
    <pivotField dataField="1" showAll="0"/>
    <pivotField dataField="1" showAll="0"/>
    <pivotField showAll="0"/>
    <pivotField showAll="0"/>
  </pivotFields>
  <rowItems count="1">
    <i/>
  </rowItems>
  <colFields count="1">
    <field x="-2"/>
  </colFields>
  <colItems count="4">
    <i>
      <x/>
    </i>
    <i i="1">
      <x v="1"/>
    </i>
    <i i="2">
      <x v="2"/>
    </i>
    <i i="3">
      <x v="3"/>
    </i>
  </colItems>
  <dataFields count="4">
    <dataField name="No. of Products" fld="0" subtotal="count" baseField="0" baseItem="0"/>
    <dataField name="Total no. Reviews" fld="5" baseField="0" baseItem="0"/>
    <dataField name="Avg of Discount %" fld="4" subtotal="average" baseField="0" baseItem="3" numFmtId="164"/>
    <dataField name="Avg of Ratings" fld="6" subtotal="average" baseField="0" baseItem="1" numFmtId="165"/>
  </dataFields>
  <formats count="9">
    <format dxfId="8">
      <pivotArea dataOnly="0" labelOnly="1" outline="0" fieldPosition="0">
        <references count="1">
          <reference field="4294967294" count="1">
            <x v="3"/>
          </reference>
        </references>
      </pivotArea>
    </format>
    <format dxfId="7">
      <pivotArea dataOnly="0" labelOnly="1" outline="0" fieldPosition="0">
        <references count="1">
          <reference field="4294967294" count="1">
            <x v="2"/>
          </reference>
        </references>
      </pivotArea>
    </format>
    <format dxfId="6">
      <pivotArea dataOnly="0" labelOnly="1" outline="0" fieldPosition="0">
        <references count="1">
          <reference field="4294967294" count="1">
            <x v="1"/>
          </reference>
        </references>
      </pivotArea>
    </format>
    <format dxfId="5">
      <pivotArea dataOnly="0" labelOnly="1" outline="0" fieldPosition="0">
        <references count="1">
          <reference field="4294967294" count="1">
            <x v="0"/>
          </reference>
        </references>
      </pivotArea>
    </format>
    <format dxfId="4">
      <pivotArea outline="0" fieldPosition="0">
        <references count="1">
          <reference field="4294967294" count="1">
            <x v="2"/>
          </reference>
        </references>
      </pivotArea>
    </format>
    <format dxfId="3">
      <pivotArea type="all" dataOnly="0" outline="0" fieldPosition="0"/>
    </format>
    <format dxfId="2">
      <pivotArea outline="0" collapsedLevelsAreSubtotals="1" fieldPosition="0"/>
    </format>
    <format dxfId="1">
      <pivotArea dataOnly="0" labelOnly="1" outline="0" fieldPosition="0">
        <references count="1">
          <reference field="4294967294" count="4">
            <x v="0"/>
            <x v="1"/>
            <x v="2"/>
            <x v="3"/>
          </reference>
        </references>
      </pivotArea>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3AAC2CEA-118D-481E-84A2-D2E82C0BA99C}" sourceName="Rating category">
  <pivotTables>
    <pivotTable tabId="7" name="PivotTable7"/>
    <pivotTable tabId="3" name="PivotTable4"/>
    <pivotTable tabId="7" name="PivotTable10"/>
    <pivotTable tabId="7" name="PivotTable11"/>
    <pivotTable tabId="7" name="PivotTable8"/>
    <pivotTable tabId="7" name="PivotTable9"/>
  </pivotTables>
  <data>
    <tabular pivotCacheId="79657712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29865D36-AB2E-4DFD-B88E-54666FB4AD08}" sourceName="Discount Category">
  <pivotTables>
    <pivotTable tabId="7" name="PivotTable7"/>
    <pivotTable tabId="3" name="PivotTable4"/>
    <pivotTable tabId="7" name="PivotTable10"/>
    <pivotTable tabId="7" name="PivotTable11"/>
    <pivotTable tabId="7" name="PivotTable8"/>
    <pivotTable tabId="7" name="PivotTable9"/>
  </pivotTables>
  <data>
    <tabular pivotCacheId="7965771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6EC84C07-EBEE-4352-8555-A96C23AC0E8B}" cache="Slicer_Rating_category" caption="Rating category" rowHeight="241300"/>
  <slicer name="Discount Category" xr10:uid="{12459759-4425-4DE6-8658-BB43770A04E9}" cache="Slicer_Discount_Category" caption="Discoun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FD3B80-302F-4B97-9E97-C859E7BF336A}" name="Table1" displayName="Table1" ref="A1:I12" totalsRowShown="0" headerRowDxfId="24">
  <autoFilter ref="A1:I12" xr:uid="{56FD3B80-302F-4B97-9E97-C859E7BF336A}"/>
  <tableColumns count="9">
    <tableColumn id="1" xr3:uid="{B65113AB-213D-4A16-9BB2-83CF11547AB0}" name="TOP 10 PRODUCTS WITH HIGHEST DISCOUNTS"/>
    <tableColumn id="2" xr3:uid="{CCD66429-38E0-400B-A5BA-D3FB0540A769}" name="Column1"/>
    <tableColumn id="3" xr3:uid="{6E4516FF-E5EF-4901-B458-A13C8CA2D501}" name="Column2"/>
    <tableColumn id="4" xr3:uid="{E613005D-7A99-4632-B72D-92BEF911B5D6}" name="Column3" dataDxfId="23">
      <calculatedColumnFormula>C2-B2</calculatedColumnFormula>
    </tableColumn>
    <tableColumn id="5" xr3:uid="{27A18755-03CD-4B00-8173-1A088272931D}" name="Column4" dataDxfId="22"/>
    <tableColumn id="6" xr3:uid="{221A8917-6241-4EFE-8831-5417EAA10FF4}" name="Column5"/>
    <tableColumn id="7" xr3:uid="{34869932-76DB-47B9-B710-6FBDEB63A9C1}" name="Column6"/>
    <tableColumn id="8" xr3:uid="{4C8A6C8B-4409-4B04-B01E-9A6C5448EBE3}" name="Column7">
      <calculatedColumnFormula>IF(G2&gt;=4.5,"Excellent",IF(G2&gt;=3,"Average","Poor"))</calculatedColumnFormula>
    </tableColumn>
    <tableColumn id="9" xr3:uid="{FD34C3C5-3CD8-410F-94DB-B8573DCE6462}" name="Column8">
      <calculatedColumnFormula>IF(E2&gt;=40%,"High Discount",IF(E2&gt;=20%,"Medium Discount","Low Dsicount"))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124CC4-2572-4EA0-BCC6-AADABC707F1F}" name="Table2" displayName="Table2" ref="A15:I26" totalsRowShown="0" headerRowDxfId="21">
  <autoFilter ref="A15:I26" xr:uid="{5E124CC4-2572-4EA0-BCC6-AADABC707F1F}"/>
  <tableColumns count="9">
    <tableColumn id="1" xr3:uid="{1663997A-4E85-46B3-8B31-F71974FD7B2E}" name="TOP 10 PRODUCTS WITH MOST REVIEWS "/>
    <tableColumn id="2" xr3:uid="{26D5F0A1-190A-4977-8441-192F4F6D8AF1}" name="Column1" dataDxfId="20"/>
    <tableColumn id="3" xr3:uid="{31ACDCCF-03A9-4531-A150-E6EC8E332293}" name="Column2" dataDxfId="19"/>
    <tableColumn id="4" xr3:uid="{8F7E87BA-66BC-4193-82BA-75CBB9ED451C}" name="Column3" dataDxfId="18">
      <calculatedColumnFormula>C16-B16</calculatedColumnFormula>
    </tableColumn>
    <tableColumn id="5" xr3:uid="{2A46EC00-F762-4740-8E19-3F31BD92464C}" name="Column4" dataDxfId="17"/>
    <tableColumn id="6" xr3:uid="{A92926F1-0353-4442-B474-4DC42EF73D28}" name="Column5"/>
    <tableColumn id="7" xr3:uid="{31D6BC35-42EF-492D-B64F-A79D3D1F4FB5}" name="Column6"/>
    <tableColumn id="8" xr3:uid="{9127D6C1-198C-4B10-B963-9A126A6FED92}" name="Column7">
      <calculatedColumnFormula>IF(G16&gt;=4.5,"Excellent",IF(G16&gt;=3,"Average","Poor"))</calculatedColumnFormula>
    </tableColumn>
    <tableColumn id="9" xr3:uid="{1DCACC22-35C9-42D8-AB57-9FB47F829703}" name="Column8">
      <calculatedColumnFormula>IF(E16&gt;=40%,"High Discount",IF(E16&gt;=20%,"Medium Discount","Low Dsicount"))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FDD125-CB05-4F32-9C7B-D7A308712EAA}" name="Table3" displayName="Table3" ref="A29:I35" totalsRowShown="0" headerRowDxfId="16">
  <autoFilter ref="A29:I35" xr:uid="{99FDD125-CB05-4F32-9C7B-D7A308712EAA}"/>
  <tableColumns count="9">
    <tableColumn id="1" xr3:uid="{80B5AEA2-023A-4BE9-A5E9-844789532911}" name="HIGHEST RATED PRODUCTS"/>
    <tableColumn id="2" xr3:uid="{8E6078C7-1875-4CC4-BD1C-AAB998BF811E}" name="Column1"/>
    <tableColumn id="3" xr3:uid="{7DFFA846-5E20-4BEF-8DD9-3F30FCCEA173}" name="Column2"/>
    <tableColumn id="4" xr3:uid="{5978F04D-6DA1-400B-B650-8A020281A050}" name="Column3" dataDxfId="15">
      <calculatedColumnFormula>C30-B30</calculatedColumnFormula>
    </tableColumn>
    <tableColumn id="5" xr3:uid="{D5704E5E-B147-4AF3-9915-50C375B1D371}" name="Column4" dataDxfId="14"/>
    <tableColumn id="6" xr3:uid="{F337DCFE-310E-4F71-8AD5-C9F92F491D64}" name="Column5"/>
    <tableColumn id="7" xr3:uid="{3BFD7E06-1C02-42BC-87B2-6996DBDCAE55}" name="Column6"/>
    <tableColumn id="8" xr3:uid="{DCB29A97-3C19-4F40-9BBC-89120921583A}" name="Column7">
      <calculatedColumnFormula>IF(G30&gt;=4.5,"Excellent",IF(G30&gt;=3,"Average","Poor"))</calculatedColumnFormula>
    </tableColumn>
    <tableColumn id="9" xr3:uid="{EB21CC4B-0DA2-4BB1-AE06-380036154885}" name="Column8">
      <calculatedColumnFormula>IF(E30&gt;=40%,"High Discount",IF(E30&gt;=20%,"Medium Discount","Low Dsicount"))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8AD802-7C57-42CA-8783-323EC4660AF4}" name="Table4" displayName="Table4" ref="A38:I45" totalsRowShown="0" headerRowDxfId="13">
  <autoFilter ref="A38:I45" xr:uid="{B68AD802-7C57-42CA-8783-323EC4660AF4}"/>
  <tableColumns count="9">
    <tableColumn id="1" xr3:uid="{172B126E-A41B-4742-9A7C-E2E20E85B1A7}" name="LOWEST RATED PRODUCTS"/>
    <tableColumn id="2" xr3:uid="{05C6A170-B469-4DDE-ADF0-B72567E5FEA5}" name="Column1" dataDxfId="12"/>
    <tableColumn id="3" xr3:uid="{8296C68D-5390-437F-AC87-45954E7039CE}" name="Column2" dataDxfId="11"/>
    <tableColumn id="4" xr3:uid="{A042D384-0923-402D-A971-E0016B8B8EAD}" name="Column3" dataDxfId="10">
      <calculatedColumnFormula>C39-B39</calculatedColumnFormula>
    </tableColumn>
    <tableColumn id="5" xr3:uid="{AE837C64-F226-4265-BFF5-0663D0AB2E9F}" name="Column4" dataDxfId="9"/>
    <tableColumn id="6" xr3:uid="{A2995E4D-2F1C-4DEA-BC7A-8F79DE814EB9}" name="Column5"/>
    <tableColumn id="7" xr3:uid="{8D0C221D-BF79-4615-815A-79F19E339FB1}" name="Column6"/>
    <tableColumn id="8" xr3:uid="{3D36FB9E-D821-4A38-BA3C-BD20A63DA44D}" name="Column7">
      <calculatedColumnFormula>IF(G39&gt;=4.5,"Excellent",IF(G39&gt;=3,"Average","Poor"))</calculatedColumnFormula>
    </tableColumn>
    <tableColumn id="9" xr3:uid="{F7228218-A0AB-4B18-A03A-EAC45F3B0B2F}" name="Column8">
      <calculatedColumnFormula>IF(E39&gt;=40%,"High Discount",IF(E39&gt;=20%,"Medium Discount","Low Dsicount"))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ivotTable" Target="../pivotTables/pivotTable4.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4"/>
  <sheetViews>
    <sheetView topLeftCell="B1" zoomScale="80" zoomScaleNormal="80" workbookViewId="0">
      <selection activeCell="B5" sqref="B5"/>
    </sheetView>
  </sheetViews>
  <sheetFormatPr defaultColWidth="11.26953125" defaultRowHeight="14.5" x14ac:dyDescent="0.35"/>
  <cols>
    <col min="2" max="2" width="89.1796875" bestFit="1" customWidth="1"/>
    <col min="6" max="6" width="11.26953125" style="1"/>
    <col min="9" max="9" width="13.81640625" bestFit="1" customWidth="1"/>
    <col min="10" max="10" width="16.81640625" customWidth="1"/>
    <col min="14" max="14" width="13.08984375" customWidth="1"/>
  </cols>
  <sheetData>
    <row r="1" spans="1:15" s="2" customFormat="1" x14ac:dyDescent="0.35">
      <c r="A1" s="2" t="s">
        <v>165</v>
      </c>
      <c r="B1" s="2" t="s">
        <v>0</v>
      </c>
      <c r="C1" s="2" t="s">
        <v>1</v>
      </c>
      <c r="D1" s="2" t="s">
        <v>112</v>
      </c>
      <c r="E1" s="2" t="s">
        <v>113</v>
      </c>
      <c r="F1" s="5" t="s">
        <v>124</v>
      </c>
      <c r="G1" s="2" t="s">
        <v>160</v>
      </c>
      <c r="H1" s="2" t="s">
        <v>111</v>
      </c>
      <c r="I1" s="2" t="s">
        <v>116</v>
      </c>
      <c r="J1" s="2" t="s">
        <v>123</v>
      </c>
    </row>
    <row r="2" spans="1:15" x14ac:dyDescent="0.35">
      <c r="A2">
        <v>1</v>
      </c>
      <c r="B2" t="s">
        <v>20</v>
      </c>
      <c r="C2" s="3">
        <v>2025</v>
      </c>
      <c r="D2" s="3">
        <v>3971</v>
      </c>
      <c r="E2" s="3">
        <f t="shared" ref="E2:E33" si="0">D2-C2</f>
        <v>1946</v>
      </c>
      <c r="F2" s="1">
        <v>0.49</v>
      </c>
      <c r="G2">
        <v>3</v>
      </c>
      <c r="H2">
        <v>5</v>
      </c>
      <c r="I2" t="str">
        <f t="shared" ref="I2:I33" si="1">IF(H2&gt;=4.5,"Excellent",IF(H2&gt;=3,"Average","Poor"))</f>
        <v>Excellent</v>
      </c>
      <c r="J2" t="str">
        <f t="shared" ref="J2:J22" si="2">IF(F2&gt;=40%,"High Discount",IF(F2&gt;=20%,"Medium Discount","Low Dsicount"))</f>
        <v>High Discount</v>
      </c>
      <c r="N2" t="s">
        <v>117</v>
      </c>
      <c r="O2" s="7">
        <f>AVERAGE(C2:C114)</f>
        <v>1192.3185840707965</v>
      </c>
    </row>
    <row r="3" spans="1:15" x14ac:dyDescent="0.35">
      <c r="A3">
        <v>2</v>
      </c>
      <c r="B3" t="s">
        <v>39</v>
      </c>
      <c r="C3">
        <v>171</v>
      </c>
      <c r="D3">
        <v>360</v>
      </c>
      <c r="E3" s="3">
        <f t="shared" si="0"/>
        <v>189</v>
      </c>
      <c r="F3" s="1">
        <v>0.53</v>
      </c>
      <c r="G3">
        <v>2</v>
      </c>
      <c r="H3">
        <v>5</v>
      </c>
      <c r="I3" t="str">
        <f t="shared" si="1"/>
        <v>Excellent</v>
      </c>
      <c r="J3" t="str">
        <f t="shared" si="2"/>
        <v>High Discount</v>
      </c>
      <c r="N3" t="s">
        <v>118</v>
      </c>
      <c r="O3" s="3">
        <f>AVERAGE(D2:D115)</f>
        <v>1818.9734513274336</v>
      </c>
    </row>
    <row r="4" spans="1:15" x14ac:dyDescent="0.35">
      <c r="A4">
        <v>3</v>
      </c>
      <c r="B4" t="s">
        <v>18</v>
      </c>
      <c r="C4">
        <v>332</v>
      </c>
      <c r="D4">
        <v>684</v>
      </c>
      <c r="E4" s="3">
        <f t="shared" si="0"/>
        <v>352</v>
      </c>
      <c r="F4" s="1">
        <v>0.51</v>
      </c>
      <c r="G4">
        <v>2</v>
      </c>
      <c r="H4">
        <v>5</v>
      </c>
      <c r="I4" t="str">
        <f t="shared" si="1"/>
        <v>Excellent</v>
      </c>
      <c r="J4" t="str">
        <f t="shared" si="2"/>
        <v>High Discount</v>
      </c>
      <c r="N4" t="s">
        <v>119</v>
      </c>
      <c r="O4" s="1">
        <f>AVERAGE(F2:F114)</f>
        <v>0.36787610619469024</v>
      </c>
    </row>
    <row r="5" spans="1:15" x14ac:dyDescent="0.35">
      <c r="A5">
        <v>4</v>
      </c>
      <c r="B5" t="s">
        <v>19</v>
      </c>
      <c r="C5">
        <v>195</v>
      </c>
      <c r="D5">
        <v>360</v>
      </c>
      <c r="E5" s="3">
        <f t="shared" si="0"/>
        <v>165</v>
      </c>
      <c r="F5" s="1">
        <v>0.46</v>
      </c>
      <c r="G5">
        <v>2</v>
      </c>
      <c r="H5">
        <v>5</v>
      </c>
      <c r="I5" t="str">
        <f t="shared" si="1"/>
        <v>Excellent</v>
      </c>
      <c r="J5" t="str">
        <f t="shared" si="2"/>
        <v>High Discount</v>
      </c>
      <c r="N5" t="s">
        <v>120</v>
      </c>
      <c r="O5" s="7">
        <f>AVERAGE(H2:H114)</f>
        <v>3.9</v>
      </c>
    </row>
    <row r="6" spans="1:15" x14ac:dyDescent="0.35">
      <c r="A6">
        <v>5</v>
      </c>
      <c r="B6" t="s">
        <v>80</v>
      </c>
      <c r="C6">
        <v>979</v>
      </c>
      <c r="D6" s="3">
        <v>1920</v>
      </c>
      <c r="E6" s="3">
        <f t="shared" si="0"/>
        <v>941</v>
      </c>
      <c r="F6" s="1">
        <v>0.49</v>
      </c>
      <c r="G6">
        <v>1</v>
      </c>
      <c r="H6">
        <v>5</v>
      </c>
      <c r="I6" t="str">
        <f t="shared" si="1"/>
        <v>Excellent</v>
      </c>
      <c r="J6" t="str">
        <f t="shared" si="2"/>
        <v>High Discount</v>
      </c>
    </row>
    <row r="7" spans="1:15" x14ac:dyDescent="0.35">
      <c r="A7">
        <v>6</v>
      </c>
      <c r="B7" t="s">
        <v>38</v>
      </c>
      <c r="C7" s="3">
        <v>1620</v>
      </c>
      <c r="D7" s="3">
        <v>2690</v>
      </c>
      <c r="E7" s="3">
        <f t="shared" si="0"/>
        <v>1070</v>
      </c>
      <c r="F7" s="1">
        <v>0.4</v>
      </c>
      <c r="G7">
        <v>1</v>
      </c>
      <c r="H7">
        <v>5</v>
      </c>
      <c r="I7" t="str">
        <f t="shared" si="1"/>
        <v>Excellent</v>
      </c>
      <c r="J7" t="str">
        <f t="shared" si="2"/>
        <v>High Discount</v>
      </c>
      <c r="N7" t="s">
        <v>121</v>
      </c>
      <c r="O7">
        <f>MAX(C2:C114)</f>
        <v>3750</v>
      </c>
    </row>
    <row r="8" spans="1:15" x14ac:dyDescent="0.35">
      <c r="A8">
        <v>7</v>
      </c>
      <c r="B8" t="s">
        <v>100</v>
      </c>
      <c r="C8" s="3">
        <v>3640</v>
      </c>
      <c r="D8" s="3">
        <v>4588</v>
      </c>
      <c r="E8" s="3">
        <f t="shared" si="0"/>
        <v>948</v>
      </c>
      <c r="F8" s="1">
        <v>0.21</v>
      </c>
      <c r="G8">
        <v>1</v>
      </c>
      <c r="H8">
        <v>5</v>
      </c>
      <c r="I8" t="str">
        <f t="shared" si="1"/>
        <v>Excellent</v>
      </c>
      <c r="J8" t="str">
        <f t="shared" si="2"/>
        <v>Medium Discount</v>
      </c>
      <c r="N8" t="s">
        <v>122</v>
      </c>
      <c r="O8">
        <f>MIN(C2:C114)</f>
        <v>38</v>
      </c>
    </row>
    <row r="9" spans="1:15" x14ac:dyDescent="0.35">
      <c r="A9">
        <v>8</v>
      </c>
      <c r="B9" t="s">
        <v>15</v>
      </c>
      <c r="C9">
        <v>552</v>
      </c>
      <c r="D9" s="3">
        <v>1035</v>
      </c>
      <c r="E9" s="3">
        <f t="shared" si="0"/>
        <v>483</v>
      </c>
      <c r="F9" s="1">
        <v>0.47</v>
      </c>
      <c r="G9">
        <v>12</v>
      </c>
      <c r="H9">
        <v>4.8</v>
      </c>
      <c r="I9" t="str">
        <f t="shared" si="1"/>
        <v>Excellent</v>
      </c>
      <c r="J9" t="str">
        <f t="shared" si="2"/>
        <v>High Discount</v>
      </c>
    </row>
    <row r="10" spans="1:15" x14ac:dyDescent="0.35">
      <c r="A10">
        <v>9</v>
      </c>
      <c r="B10" t="s">
        <v>11</v>
      </c>
      <c r="C10" s="3">
        <v>1274</v>
      </c>
      <c r="D10" s="3">
        <v>2800</v>
      </c>
      <c r="E10" s="3">
        <f t="shared" si="0"/>
        <v>1526</v>
      </c>
      <c r="F10" s="1">
        <v>0.55000000000000004</v>
      </c>
      <c r="G10">
        <v>5</v>
      </c>
      <c r="H10">
        <v>4.8</v>
      </c>
      <c r="I10" t="str">
        <f t="shared" si="1"/>
        <v>Excellent</v>
      </c>
      <c r="J10" t="str">
        <f t="shared" si="2"/>
        <v>High Discount</v>
      </c>
    </row>
    <row r="11" spans="1:15" x14ac:dyDescent="0.35">
      <c r="A11">
        <v>10</v>
      </c>
      <c r="B11" t="s">
        <v>7</v>
      </c>
      <c r="C11" s="3">
        <v>1740</v>
      </c>
      <c r="D11" s="3">
        <v>2356</v>
      </c>
      <c r="E11" s="3">
        <f t="shared" si="0"/>
        <v>616</v>
      </c>
      <c r="F11" s="1">
        <v>0.26</v>
      </c>
      <c r="G11">
        <v>5</v>
      </c>
      <c r="H11">
        <v>4.8</v>
      </c>
      <c r="I11" t="str">
        <f t="shared" si="1"/>
        <v>Excellent</v>
      </c>
      <c r="J11" t="str">
        <f t="shared" si="2"/>
        <v>Medium Discount</v>
      </c>
    </row>
    <row r="12" spans="1:15" x14ac:dyDescent="0.35">
      <c r="A12">
        <v>11</v>
      </c>
      <c r="B12" t="s">
        <v>14</v>
      </c>
      <c r="C12">
        <v>990</v>
      </c>
      <c r="D12" s="3">
        <v>1500</v>
      </c>
      <c r="E12" s="3">
        <f t="shared" si="0"/>
        <v>510</v>
      </c>
      <c r="F12" s="1">
        <v>0.34</v>
      </c>
      <c r="G12">
        <v>39</v>
      </c>
      <c r="H12">
        <v>4.7</v>
      </c>
      <c r="I12" t="str">
        <f t="shared" si="1"/>
        <v>Excellent</v>
      </c>
      <c r="J12" t="str">
        <f t="shared" si="2"/>
        <v>Medium Discount</v>
      </c>
    </row>
    <row r="13" spans="1:15" x14ac:dyDescent="0.35">
      <c r="A13">
        <v>12</v>
      </c>
      <c r="B13" t="s">
        <v>36</v>
      </c>
      <c r="C13" s="3">
        <v>1940</v>
      </c>
      <c r="D13" s="3">
        <v>2650</v>
      </c>
      <c r="E13" s="3">
        <f t="shared" si="0"/>
        <v>710</v>
      </c>
      <c r="F13" s="1">
        <v>0.27</v>
      </c>
      <c r="G13">
        <v>20</v>
      </c>
      <c r="H13">
        <v>4.7</v>
      </c>
      <c r="I13" t="str">
        <f t="shared" si="1"/>
        <v>Excellent</v>
      </c>
      <c r="J13" t="str">
        <f t="shared" si="2"/>
        <v>Medium Discount</v>
      </c>
    </row>
    <row r="14" spans="1:15" x14ac:dyDescent="0.35">
      <c r="A14">
        <v>13</v>
      </c>
      <c r="B14" t="s">
        <v>34</v>
      </c>
      <c r="C14">
        <v>980</v>
      </c>
      <c r="D14" s="3">
        <v>1490</v>
      </c>
      <c r="E14" s="3">
        <f t="shared" si="0"/>
        <v>510</v>
      </c>
      <c r="F14" s="1">
        <v>0.34</v>
      </c>
      <c r="G14">
        <v>12</v>
      </c>
      <c r="H14">
        <v>4.7</v>
      </c>
      <c r="I14" t="str">
        <f t="shared" si="1"/>
        <v>Excellent</v>
      </c>
      <c r="J14" t="str">
        <f t="shared" si="2"/>
        <v>Medium Discount</v>
      </c>
    </row>
    <row r="15" spans="1:15" x14ac:dyDescent="0.35">
      <c r="A15">
        <v>14</v>
      </c>
      <c r="B15" t="s">
        <v>6</v>
      </c>
      <c r="C15" s="3">
        <v>1580</v>
      </c>
      <c r="D15" s="3">
        <v>2499</v>
      </c>
      <c r="E15" s="3">
        <f t="shared" si="0"/>
        <v>919</v>
      </c>
      <c r="F15" s="1">
        <v>0.37</v>
      </c>
      <c r="G15">
        <v>7</v>
      </c>
      <c r="H15">
        <v>4.7</v>
      </c>
      <c r="I15" t="str">
        <f t="shared" si="1"/>
        <v>Excellent</v>
      </c>
      <c r="J15" t="str">
        <f t="shared" si="2"/>
        <v>Medium Discount</v>
      </c>
    </row>
    <row r="16" spans="1:15" x14ac:dyDescent="0.35">
      <c r="A16">
        <v>15</v>
      </c>
      <c r="B16" t="s">
        <v>9</v>
      </c>
      <c r="C16" s="3">
        <v>2319</v>
      </c>
      <c r="D16" s="3">
        <v>3032</v>
      </c>
      <c r="E16" s="3">
        <f t="shared" si="0"/>
        <v>713</v>
      </c>
      <c r="F16" s="1">
        <v>0.24</v>
      </c>
      <c r="G16">
        <v>55</v>
      </c>
      <c r="H16">
        <v>4.5999999999999996</v>
      </c>
      <c r="I16" t="str">
        <f t="shared" si="1"/>
        <v>Excellent</v>
      </c>
      <c r="J16" t="str">
        <f t="shared" si="2"/>
        <v>Medium Discount</v>
      </c>
    </row>
    <row r="17" spans="1:10" x14ac:dyDescent="0.35">
      <c r="A17">
        <v>16</v>
      </c>
      <c r="B17" t="s">
        <v>28</v>
      </c>
      <c r="C17">
        <v>420</v>
      </c>
      <c r="D17">
        <v>647</v>
      </c>
      <c r="E17" s="3">
        <f t="shared" si="0"/>
        <v>227</v>
      </c>
      <c r="F17" s="1">
        <v>0.35</v>
      </c>
      <c r="G17">
        <v>49</v>
      </c>
      <c r="H17">
        <v>4.5999999999999996</v>
      </c>
      <c r="I17" t="str">
        <f t="shared" si="1"/>
        <v>Excellent</v>
      </c>
      <c r="J17" t="str">
        <f t="shared" si="2"/>
        <v>Medium Discount</v>
      </c>
    </row>
    <row r="18" spans="1:10" x14ac:dyDescent="0.35">
      <c r="A18">
        <v>17</v>
      </c>
      <c r="B18" t="s">
        <v>22</v>
      </c>
      <c r="C18">
        <v>998</v>
      </c>
      <c r="D18" s="3">
        <v>1966</v>
      </c>
      <c r="E18" s="3">
        <f t="shared" si="0"/>
        <v>968</v>
      </c>
      <c r="F18" s="1">
        <v>0.49</v>
      </c>
      <c r="G18">
        <v>44</v>
      </c>
      <c r="H18">
        <v>4.5999999999999996</v>
      </c>
      <c r="I18" t="str">
        <f t="shared" si="1"/>
        <v>Excellent</v>
      </c>
      <c r="J18" t="str">
        <f t="shared" si="2"/>
        <v>High Discount</v>
      </c>
    </row>
    <row r="19" spans="1:10" x14ac:dyDescent="0.35">
      <c r="A19">
        <v>18</v>
      </c>
      <c r="B19" t="s">
        <v>5</v>
      </c>
      <c r="C19" s="3">
        <v>2199</v>
      </c>
      <c r="D19" s="3">
        <v>2923</v>
      </c>
      <c r="E19" s="3">
        <f t="shared" si="0"/>
        <v>724</v>
      </c>
      <c r="F19" s="1">
        <v>0.25</v>
      </c>
      <c r="G19">
        <v>24</v>
      </c>
      <c r="H19">
        <v>4.5999999999999996</v>
      </c>
      <c r="I19" t="str">
        <f t="shared" si="1"/>
        <v>Excellent</v>
      </c>
      <c r="J19" t="str">
        <f t="shared" si="2"/>
        <v>Medium Discount</v>
      </c>
    </row>
    <row r="20" spans="1:10" x14ac:dyDescent="0.35">
      <c r="A20">
        <v>19</v>
      </c>
      <c r="B20" t="s">
        <v>21</v>
      </c>
      <c r="C20" s="3">
        <v>2999</v>
      </c>
      <c r="D20" s="3">
        <v>3699</v>
      </c>
      <c r="E20" s="3">
        <f t="shared" si="0"/>
        <v>700</v>
      </c>
      <c r="F20" s="1">
        <v>0.19</v>
      </c>
      <c r="G20">
        <v>5</v>
      </c>
      <c r="H20">
        <v>4.5999999999999996</v>
      </c>
      <c r="I20" t="str">
        <f t="shared" si="1"/>
        <v>Excellent</v>
      </c>
      <c r="J20" t="str">
        <f t="shared" si="2"/>
        <v>Low Dsicount</v>
      </c>
    </row>
    <row r="21" spans="1:10" x14ac:dyDescent="0.35">
      <c r="A21">
        <v>20</v>
      </c>
      <c r="B21" t="s">
        <v>37</v>
      </c>
      <c r="C21" s="3">
        <v>1980</v>
      </c>
      <c r="D21" s="3">
        <v>2699</v>
      </c>
      <c r="E21" s="3">
        <f t="shared" si="0"/>
        <v>719</v>
      </c>
      <c r="F21" s="1">
        <v>0.27</v>
      </c>
      <c r="G21">
        <v>32</v>
      </c>
      <c r="H21">
        <v>4.5</v>
      </c>
      <c r="I21" t="str">
        <f t="shared" si="1"/>
        <v>Excellent</v>
      </c>
      <c r="J21" t="str">
        <f t="shared" si="2"/>
        <v>Medium Discount</v>
      </c>
    </row>
    <row r="22" spans="1:10" x14ac:dyDescent="0.35">
      <c r="A22">
        <v>21</v>
      </c>
      <c r="B22" t="s">
        <v>16</v>
      </c>
      <c r="C22">
        <v>501</v>
      </c>
      <c r="D22">
        <v>860</v>
      </c>
      <c r="E22" s="3">
        <f t="shared" si="0"/>
        <v>359</v>
      </c>
      <c r="F22" s="1">
        <v>0.42</v>
      </c>
      <c r="G22">
        <v>6</v>
      </c>
      <c r="H22">
        <v>4.5</v>
      </c>
      <c r="I22" t="str">
        <f t="shared" si="1"/>
        <v>Excellent</v>
      </c>
      <c r="J22" t="str">
        <f t="shared" si="2"/>
        <v>High Discount</v>
      </c>
    </row>
    <row r="23" spans="1:10" x14ac:dyDescent="0.35">
      <c r="A23">
        <v>22</v>
      </c>
      <c r="B23" t="s">
        <v>3</v>
      </c>
      <c r="C23">
        <v>950</v>
      </c>
      <c r="D23" s="3">
        <v>1525</v>
      </c>
      <c r="E23" s="3">
        <f t="shared" si="0"/>
        <v>575</v>
      </c>
      <c r="F23" s="1">
        <v>0.38</v>
      </c>
      <c r="G23">
        <v>2</v>
      </c>
      <c r="H23">
        <v>4.5</v>
      </c>
      <c r="I23" t="str">
        <f t="shared" si="1"/>
        <v>Excellent</v>
      </c>
      <c r="J23" t="str">
        <f>IF(F23&gt;=40%,"High Discount",IF(F23&gt;=20%,"Medium Discount","Low Discount"))</f>
        <v>Medium Discount</v>
      </c>
    </row>
    <row r="24" spans="1:10" x14ac:dyDescent="0.35">
      <c r="A24">
        <v>23</v>
      </c>
      <c r="B24" t="s">
        <v>114</v>
      </c>
      <c r="C24" s="3">
        <v>1620</v>
      </c>
      <c r="D24" s="3">
        <v>2200</v>
      </c>
      <c r="E24" s="3">
        <f t="shared" si="0"/>
        <v>580</v>
      </c>
      <c r="F24" s="1">
        <v>0.38</v>
      </c>
      <c r="G24" s="3">
        <v>2</v>
      </c>
      <c r="H24" s="4">
        <v>4.5</v>
      </c>
      <c r="I24" t="str">
        <f t="shared" si="1"/>
        <v>Excellent</v>
      </c>
      <c r="J24" t="str">
        <f t="shared" ref="J24:J55" si="3">IF(F24&gt;=40%,"High Discount",IF(F24&gt;=20%,"Medium Discount","Low Dsicount"))</f>
        <v>Medium Discount</v>
      </c>
    </row>
    <row r="25" spans="1:10" x14ac:dyDescent="0.35">
      <c r="A25">
        <v>24</v>
      </c>
      <c r="B25" t="s">
        <v>115</v>
      </c>
      <c r="C25" s="3">
        <v>1980</v>
      </c>
      <c r="D25" s="3">
        <v>3200</v>
      </c>
      <c r="E25" s="3">
        <f t="shared" si="0"/>
        <v>1220</v>
      </c>
      <c r="F25" s="1">
        <v>0.38</v>
      </c>
      <c r="G25">
        <v>2</v>
      </c>
      <c r="H25">
        <v>4.5</v>
      </c>
      <c r="I25" t="str">
        <f t="shared" si="1"/>
        <v>Excellent</v>
      </c>
      <c r="J25" t="str">
        <f t="shared" si="3"/>
        <v>Medium Discount</v>
      </c>
    </row>
    <row r="26" spans="1:10" x14ac:dyDescent="0.35">
      <c r="A26">
        <v>25</v>
      </c>
      <c r="B26" t="s">
        <v>26</v>
      </c>
      <c r="C26" s="3">
        <v>1650</v>
      </c>
      <c r="D26" s="3">
        <v>2150</v>
      </c>
      <c r="E26" s="3">
        <f t="shared" si="0"/>
        <v>500</v>
      </c>
      <c r="F26" s="1">
        <v>0.23</v>
      </c>
      <c r="G26">
        <v>14</v>
      </c>
      <c r="H26">
        <v>4.4000000000000004</v>
      </c>
      <c r="I26" t="str">
        <f t="shared" si="1"/>
        <v>Average</v>
      </c>
      <c r="J26" t="str">
        <f t="shared" si="3"/>
        <v>Medium Discount</v>
      </c>
    </row>
    <row r="27" spans="1:10" x14ac:dyDescent="0.35">
      <c r="A27">
        <v>26</v>
      </c>
      <c r="B27" t="s">
        <v>40</v>
      </c>
      <c r="C27">
        <v>389</v>
      </c>
      <c r="D27">
        <v>656</v>
      </c>
      <c r="E27" s="3">
        <f t="shared" si="0"/>
        <v>267</v>
      </c>
      <c r="F27" s="1">
        <v>0.41</v>
      </c>
      <c r="G27">
        <v>36</v>
      </c>
      <c r="H27">
        <v>4.3</v>
      </c>
      <c r="I27" t="str">
        <f t="shared" si="1"/>
        <v>Average</v>
      </c>
      <c r="J27" t="str">
        <f t="shared" si="3"/>
        <v>High Discount</v>
      </c>
    </row>
    <row r="28" spans="1:10" x14ac:dyDescent="0.35">
      <c r="A28">
        <v>27</v>
      </c>
      <c r="B28" t="s">
        <v>33</v>
      </c>
      <c r="C28">
        <v>185</v>
      </c>
      <c r="D28">
        <v>382</v>
      </c>
      <c r="E28" s="3">
        <f t="shared" si="0"/>
        <v>197</v>
      </c>
      <c r="F28" s="1">
        <v>0.52</v>
      </c>
      <c r="G28">
        <v>9</v>
      </c>
      <c r="H28">
        <v>4.3</v>
      </c>
      <c r="I28" t="str">
        <f t="shared" si="1"/>
        <v>Average</v>
      </c>
      <c r="J28" t="str">
        <f t="shared" si="3"/>
        <v>High Discount</v>
      </c>
    </row>
    <row r="29" spans="1:10" x14ac:dyDescent="0.35">
      <c r="A29">
        <v>28</v>
      </c>
      <c r="B29" t="s">
        <v>35</v>
      </c>
      <c r="C29" s="3">
        <v>1820</v>
      </c>
      <c r="D29" s="3">
        <v>3490</v>
      </c>
      <c r="E29" s="3">
        <f t="shared" si="0"/>
        <v>1670</v>
      </c>
      <c r="F29" s="1">
        <v>0.48</v>
      </c>
      <c r="G29">
        <v>9</v>
      </c>
      <c r="H29">
        <v>4.3</v>
      </c>
      <c r="I29" t="str">
        <f t="shared" si="1"/>
        <v>Average</v>
      </c>
      <c r="J29" t="str">
        <f t="shared" si="3"/>
        <v>High Discount</v>
      </c>
    </row>
    <row r="30" spans="1:10" x14ac:dyDescent="0.35">
      <c r="A30">
        <v>29</v>
      </c>
      <c r="B30" t="s">
        <v>27</v>
      </c>
      <c r="C30" s="3">
        <v>2048</v>
      </c>
      <c r="D30" s="3">
        <v>4500</v>
      </c>
      <c r="E30" s="3">
        <f t="shared" si="0"/>
        <v>2452</v>
      </c>
      <c r="F30" s="1">
        <v>0.54</v>
      </c>
      <c r="G30">
        <v>7</v>
      </c>
      <c r="H30">
        <v>4.3</v>
      </c>
      <c r="I30" t="str">
        <f t="shared" si="1"/>
        <v>Average</v>
      </c>
      <c r="J30" t="str">
        <f t="shared" si="3"/>
        <v>High Discount</v>
      </c>
    </row>
    <row r="31" spans="1:10" x14ac:dyDescent="0.35">
      <c r="A31">
        <v>30</v>
      </c>
      <c r="B31" t="s">
        <v>17</v>
      </c>
      <c r="C31" s="3">
        <v>1680</v>
      </c>
      <c r="D31" s="3">
        <v>2499</v>
      </c>
      <c r="E31" s="3">
        <f t="shared" si="0"/>
        <v>819</v>
      </c>
      <c r="F31" s="1">
        <v>0.33</v>
      </c>
      <c r="G31">
        <v>9</v>
      </c>
      <c r="H31">
        <v>4.2</v>
      </c>
      <c r="I31" t="str">
        <f t="shared" si="1"/>
        <v>Average</v>
      </c>
      <c r="J31" t="str">
        <f t="shared" si="3"/>
        <v>Medium Discount</v>
      </c>
    </row>
    <row r="32" spans="1:10" x14ac:dyDescent="0.35">
      <c r="A32">
        <v>31</v>
      </c>
      <c r="B32" t="s">
        <v>31</v>
      </c>
      <c r="C32" s="3">
        <v>1758</v>
      </c>
      <c r="D32" s="3">
        <v>2499</v>
      </c>
      <c r="E32" s="3">
        <f t="shared" si="0"/>
        <v>741</v>
      </c>
      <c r="F32" s="1">
        <v>0.3</v>
      </c>
      <c r="G32">
        <v>20</v>
      </c>
      <c r="H32">
        <v>4.0999999999999996</v>
      </c>
      <c r="I32" t="str">
        <f t="shared" si="1"/>
        <v>Average</v>
      </c>
      <c r="J32" t="str">
        <f t="shared" si="3"/>
        <v>Medium Discount</v>
      </c>
    </row>
    <row r="33" spans="1:10" x14ac:dyDescent="0.35">
      <c r="A33">
        <v>32</v>
      </c>
      <c r="B33" t="s">
        <v>4</v>
      </c>
      <c r="C33">
        <v>527</v>
      </c>
      <c r="D33">
        <v>999</v>
      </c>
      <c r="E33" s="3">
        <f t="shared" si="0"/>
        <v>472</v>
      </c>
      <c r="F33" s="1">
        <v>0.47</v>
      </c>
      <c r="G33">
        <v>14</v>
      </c>
      <c r="H33">
        <v>4.0999999999999996</v>
      </c>
      <c r="I33" t="str">
        <f t="shared" si="1"/>
        <v>Average</v>
      </c>
      <c r="J33" t="str">
        <f t="shared" si="3"/>
        <v>High Discount</v>
      </c>
    </row>
    <row r="34" spans="1:10" x14ac:dyDescent="0.35">
      <c r="A34">
        <v>33</v>
      </c>
      <c r="B34" t="s">
        <v>13</v>
      </c>
      <c r="C34">
        <v>799</v>
      </c>
      <c r="D34">
        <v>999</v>
      </c>
      <c r="E34" s="3">
        <f t="shared" ref="E34:E65" si="4">D34-C34</f>
        <v>200</v>
      </c>
      <c r="F34" s="1">
        <v>0.2</v>
      </c>
      <c r="G34">
        <v>12</v>
      </c>
      <c r="H34">
        <v>4.0999999999999996</v>
      </c>
      <c r="I34" t="str">
        <f t="shared" ref="I34:I65" si="5">IF(H34&gt;=4.5,"Excellent",IF(H34&gt;=3,"Average","Poor"))</f>
        <v>Average</v>
      </c>
      <c r="J34" t="str">
        <f t="shared" si="3"/>
        <v>Medium Discount</v>
      </c>
    </row>
    <row r="35" spans="1:10" x14ac:dyDescent="0.35">
      <c r="A35">
        <v>34</v>
      </c>
      <c r="B35" t="s">
        <v>8</v>
      </c>
      <c r="C35" s="3">
        <v>2999</v>
      </c>
      <c r="D35" s="3">
        <v>3290</v>
      </c>
      <c r="E35" s="3">
        <f t="shared" si="4"/>
        <v>291</v>
      </c>
      <c r="F35" s="1">
        <v>0.09</v>
      </c>
      <c r="G35">
        <v>15</v>
      </c>
      <c r="H35">
        <v>4</v>
      </c>
      <c r="I35" t="str">
        <f t="shared" si="5"/>
        <v>Average</v>
      </c>
      <c r="J35" t="str">
        <f t="shared" si="3"/>
        <v>Low Dsicount</v>
      </c>
    </row>
    <row r="36" spans="1:10" x14ac:dyDescent="0.35">
      <c r="A36">
        <v>35</v>
      </c>
      <c r="B36" t="s">
        <v>25</v>
      </c>
      <c r="C36">
        <v>880</v>
      </c>
      <c r="D36" s="3">
        <v>1350</v>
      </c>
      <c r="E36" s="3">
        <f t="shared" si="4"/>
        <v>470</v>
      </c>
      <c r="F36" s="1">
        <v>0.35</v>
      </c>
      <c r="G36">
        <v>6</v>
      </c>
      <c r="H36">
        <v>4</v>
      </c>
      <c r="I36" t="str">
        <f t="shared" si="5"/>
        <v>Average</v>
      </c>
      <c r="J36" t="str">
        <f t="shared" si="3"/>
        <v>Medium Discount</v>
      </c>
    </row>
    <row r="37" spans="1:10" x14ac:dyDescent="0.35">
      <c r="A37">
        <v>36</v>
      </c>
      <c r="B37" t="s">
        <v>10</v>
      </c>
      <c r="C37">
        <v>988</v>
      </c>
      <c r="D37" s="3">
        <v>1580</v>
      </c>
      <c r="E37" s="3">
        <f t="shared" si="4"/>
        <v>592</v>
      </c>
      <c r="F37" s="1">
        <v>0.37</v>
      </c>
      <c r="G37">
        <v>2</v>
      </c>
      <c r="H37">
        <v>4</v>
      </c>
      <c r="I37" t="str">
        <f t="shared" si="5"/>
        <v>Average</v>
      </c>
      <c r="J37" t="str">
        <f t="shared" si="3"/>
        <v>Medium Discount</v>
      </c>
    </row>
    <row r="38" spans="1:10" x14ac:dyDescent="0.35">
      <c r="A38">
        <v>37</v>
      </c>
      <c r="B38" t="s">
        <v>83</v>
      </c>
      <c r="C38">
        <v>330</v>
      </c>
      <c r="D38">
        <v>647</v>
      </c>
      <c r="E38" s="3">
        <f t="shared" si="4"/>
        <v>317</v>
      </c>
      <c r="F38" s="1">
        <v>0.49</v>
      </c>
      <c r="G38">
        <v>1</v>
      </c>
      <c r="H38">
        <v>4</v>
      </c>
      <c r="I38" t="str">
        <f t="shared" si="5"/>
        <v>Average</v>
      </c>
      <c r="J38" t="str">
        <f t="shared" si="3"/>
        <v>High Discount</v>
      </c>
    </row>
    <row r="39" spans="1:10" x14ac:dyDescent="0.35">
      <c r="A39">
        <v>38</v>
      </c>
      <c r="B39" t="s">
        <v>30</v>
      </c>
      <c r="C39" s="3">
        <v>1350</v>
      </c>
      <c r="D39" s="3">
        <v>1990</v>
      </c>
      <c r="E39" s="3">
        <f t="shared" si="4"/>
        <v>640</v>
      </c>
      <c r="F39" s="1">
        <v>0.32</v>
      </c>
      <c r="G39">
        <v>13</v>
      </c>
      <c r="H39">
        <v>3.8</v>
      </c>
      <c r="I39" t="str">
        <f t="shared" si="5"/>
        <v>Average</v>
      </c>
      <c r="J39" t="str">
        <f t="shared" si="3"/>
        <v>Medium Discount</v>
      </c>
    </row>
    <row r="40" spans="1:10" x14ac:dyDescent="0.35">
      <c r="A40">
        <v>39</v>
      </c>
      <c r="B40" t="s">
        <v>29</v>
      </c>
      <c r="C40" s="3">
        <v>2880</v>
      </c>
      <c r="D40" s="3">
        <v>3520</v>
      </c>
      <c r="E40" s="3">
        <f t="shared" si="4"/>
        <v>640</v>
      </c>
      <c r="F40" s="1">
        <v>0.18</v>
      </c>
      <c r="G40">
        <v>12</v>
      </c>
      <c r="H40">
        <v>3.8</v>
      </c>
      <c r="I40" t="str">
        <f t="shared" si="5"/>
        <v>Average</v>
      </c>
      <c r="J40" t="str">
        <f t="shared" si="3"/>
        <v>Low Dsicount</v>
      </c>
    </row>
    <row r="41" spans="1:10" x14ac:dyDescent="0.35">
      <c r="A41">
        <v>40</v>
      </c>
      <c r="B41" t="s">
        <v>12</v>
      </c>
      <c r="C41" s="3">
        <v>1600</v>
      </c>
      <c r="D41" s="3">
        <v>2929</v>
      </c>
      <c r="E41" s="3">
        <f t="shared" si="4"/>
        <v>1329</v>
      </c>
      <c r="F41" s="1">
        <v>0.45</v>
      </c>
      <c r="G41">
        <v>5</v>
      </c>
      <c r="H41">
        <v>3.8</v>
      </c>
      <c r="I41" t="str">
        <f t="shared" si="5"/>
        <v>Average</v>
      </c>
      <c r="J41" t="str">
        <f t="shared" si="3"/>
        <v>High Discount</v>
      </c>
    </row>
    <row r="42" spans="1:10" x14ac:dyDescent="0.35">
      <c r="A42">
        <v>41</v>
      </c>
      <c r="B42" t="s">
        <v>23</v>
      </c>
      <c r="C42">
        <v>38</v>
      </c>
      <c r="D42">
        <v>80</v>
      </c>
      <c r="E42" s="3">
        <f t="shared" si="4"/>
        <v>42</v>
      </c>
      <c r="F42" s="1">
        <v>0.53</v>
      </c>
      <c r="G42">
        <v>13</v>
      </c>
      <c r="H42">
        <v>3.3</v>
      </c>
      <c r="I42" t="str">
        <f t="shared" si="5"/>
        <v>Average</v>
      </c>
      <c r="J42" t="str">
        <f t="shared" si="3"/>
        <v>High Discount</v>
      </c>
    </row>
    <row r="43" spans="1:10" x14ac:dyDescent="0.35">
      <c r="A43">
        <v>42</v>
      </c>
      <c r="B43" t="s">
        <v>61</v>
      </c>
      <c r="C43">
        <v>458</v>
      </c>
      <c r="D43">
        <v>986</v>
      </c>
      <c r="E43" s="3">
        <f t="shared" si="4"/>
        <v>528</v>
      </c>
      <c r="F43" s="1">
        <v>0.54</v>
      </c>
      <c r="G43">
        <v>10</v>
      </c>
      <c r="H43">
        <v>3</v>
      </c>
      <c r="I43" t="str">
        <f t="shared" si="5"/>
        <v>Average</v>
      </c>
      <c r="J43" t="str">
        <f t="shared" si="3"/>
        <v>High Discount</v>
      </c>
    </row>
    <row r="44" spans="1:10" x14ac:dyDescent="0.35">
      <c r="A44">
        <v>43</v>
      </c>
      <c r="B44" t="s">
        <v>72</v>
      </c>
      <c r="C44">
        <v>509</v>
      </c>
      <c r="D44">
        <v>899</v>
      </c>
      <c r="E44" s="3">
        <f t="shared" si="4"/>
        <v>390</v>
      </c>
      <c r="F44" s="1">
        <v>0.43</v>
      </c>
      <c r="G44">
        <v>5</v>
      </c>
      <c r="H44">
        <v>3</v>
      </c>
      <c r="I44" t="str">
        <f t="shared" si="5"/>
        <v>Average</v>
      </c>
      <c r="J44" t="str">
        <f t="shared" si="3"/>
        <v>High Discount</v>
      </c>
    </row>
    <row r="45" spans="1:10" x14ac:dyDescent="0.35">
      <c r="A45">
        <v>44</v>
      </c>
      <c r="B45" t="s">
        <v>68</v>
      </c>
      <c r="C45" s="3">
        <v>3750</v>
      </c>
      <c r="D45" s="3">
        <v>6143</v>
      </c>
      <c r="E45" s="3">
        <f t="shared" si="4"/>
        <v>2393</v>
      </c>
      <c r="F45" s="1">
        <v>0.39</v>
      </c>
      <c r="G45">
        <v>5</v>
      </c>
      <c r="H45">
        <v>3</v>
      </c>
      <c r="I45" t="str">
        <f t="shared" si="5"/>
        <v>Average</v>
      </c>
      <c r="J45" t="str">
        <f t="shared" si="3"/>
        <v>Medium Discount</v>
      </c>
    </row>
    <row r="46" spans="1:10" x14ac:dyDescent="0.35">
      <c r="A46">
        <v>45</v>
      </c>
      <c r="B46" t="s">
        <v>70</v>
      </c>
      <c r="C46" s="3">
        <v>2300</v>
      </c>
      <c r="D46" s="3">
        <v>3240</v>
      </c>
      <c r="E46" s="3">
        <f t="shared" si="4"/>
        <v>940</v>
      </c>
      <c r="F46" s="1">
        <v>0.28999999999999998</v>
      </c>
      <c r="G46">
        <v>5</v>
      </c>
      <c r="H46">
        <v>3</v>
      </c>
      <c r="I46" t="str">
        <f t="shared" si="5"/>
        <v>Average</v>
      </c>
      <c r="J46" t="str">
        <f t="shared" si="3"/>
        <v>Medium Discount</v>
      </c>
    </row>
    <row r="47" spans="1:10" x14ac:dyDescent="0.35">
      <c r="A47">
        <v>46</v>
      </c>
      <c r="B47" t="s">
        <v>79</v>
      </c>
      <c r="C47" s="3">
        <v>1189</v>
      </c>
      <c r="D47" s="3">
        <v>2199</v>
      </c>
      <c r="E47" s="3">
        <f t="shared" si="4"/>
        <v>1010</v>
      </c>
      <c r="F47" s="1">
        <v>0.46</v>
      </c>
      <c r="G47">
        <v>1</v>
      </c>
      <c r="H47">
        <v>3</v>
      </c>
      <c r="I47" t="str">
        <f t="shared" si="5"/>
        <v>Average</v>
      </c>
      <c r="J47" t="str">
        <f t="shared" si="3"/>
        <v>High Discount</v>
      </c>
    </row>
    <row r="48" spans="1:10" x14ac:dyDescent="0.35">
      <c r="A48">
        <v>47</v>
      </c>
      <c r="B48" t="s">
        <v>65</v>
      </c>
      <c r="C48" s="3">
        <v>1220</v>
      </c>
      <c r="D48" s="3">
        <v>1555</v>
      </c>
      <c r="E48" s="3">
        <f t="shared" si="4"/>
        <v>335</v>
      </c>
      <c r="F48" s="1">
        <v>0.22</v>
      </c>
      <c r="G48">
        <v>16</v>
      </c>
      <c r="H48">
        <v>2.9</v>
      </c>
      <c r="I48" t="str">
        <f t="shared" si="5"/>
        <v>Poor</v>
      </c>
      <c r="J48" t="str">
        <f t="shared" si="3"/>
        <v>Medium Discount</v>
      </c>
    </row>
    <row r="49" spans="1:10" x14ac:dyDescent="0.35">
      <c r="A49">
        <v>48</v>
      </c>
      <c r="B49" t="s">
        <v>63</v>
      </c>
      <c r="C49">
        <v>445</v>
      </c>
      <c r="D49">
        <v>873</v>
      </c>
      <c r="E49" s="3">
        <f t="shared" si="4"/>
        <v>428</v>
      </c>
      <c r="F49" s="1">
        <v>0.49</v>
      </c>
      <c r="G49">
        <v>69</v>
      </c>
      <c r="H49">
        <v>2.8</v>
      </c>
      <c r="I49" t="str">
        <f t="shared" si="5"/>
        <v>Poor</v>
      </c>
      <c r="J49" t="str">
        <f t="shared" si="3"/>
        <v>High Discount</v>
      </c>
    </row>
    <row r="50" spans="1:10" x14ac:dyDescent="0.35">
      <c r="A50">
        <v>49</v>
      </c>
      <c r="B50" t="s">
        <v>64</v>
      </c>
      <c r="C50">
        <v>325</v>
      </c>
      <c r="D50">
        <v>680</v>
      </c>
      <c r="E50" s="3">
        <f t="shared" si="4"/>
        <v>355</v>
      </c>
      <c r="F50" s="1">
        <v>0.52</v>
      </c>
      <c r="G50">
        <v>15</v>
      </c>
      <c r="H50">
        <v>2.7</v>
      </c>
      <c r="I50" t="str">
        <f t="shared" si="5"/>
        <v>Poor</v>
      </c>
      <c r="J50" t="str">
        <f t="shared" si="3"/>
        <v>High Discount</v>
      </c>
    </row>
    <row r="51" spans="1:10" x14ac:dyDescent="0.35">
      <c r="A51">
        <v>50</v>
      </c>
      <c r="B51" t="s">
        <v>69</v>
      </c>
      <c r="C51">
        <v>382</v>
      </c>
      <c r="D51">
        <v>700</v>
      </c>
      <c r="E51" s="3">
        <f t="shared" si="4"/>
        <v>318</v>
      </c>
      <c r="F51" s="1">
        <v>0.45</v>
      </c>
      <c r="G51">
        <v>17</v>
      </c>
      <c r="H51">
        <v>2.6</v>
      </c>
      <c r="I51" t="str">
        <f t="shared" si="5"/>
        <v>Poor</v>
      </c>
      <c r="J51" t="str">
        <f t="shared" si="3"/>
        <v>High Discount</v>
      </c>
    </row>
    <row r="52" spans="1:10" x14ac:dyDescent="0.35">
      <c r="A52">
        <v>51</v>
      </c>
      <c r="B52" t="s">
        <v>60</v>
      </c>
      <c r="C52" s="3">
        <v>2170</v>
      </c>
      <c r="D52" s="3">
        <v>2500</v>
      </c>
      <c r="E52" s="3">
        <f t="shared" si="4"/>
        <v>330</v>
      </c>
      <c r="F52" s="1">
        <v>0.13</v>
      </c>
      <c r="G52">
        <v>6</v>
      </c>
      <c r="H52">
        <v>2.5</v>
      </c>
      <c r="I52" t="str">
        <f t="shared" si="5"/>
        <v>Poor</v>
      </c>
      <c r="J52" t="str">
        <f t="shared" si="3"/>
        <v>Low Dsicount</v>
      </c>
    </row>
    <row r="53" spans="1:10" x14ac:dyDescent="0.35">
      <c r="A53">
        <v>52</v>
      </c>
      <c r="B53" t="s">
        <v>67</v>
      </c>
      <c r="C53" s="3">
        <v>1000</v>
      </c>
      <c r="D53" s="3">
        <v>2000</v>
      </c>
      <c r="E53" s="3">
        <f t="shared" si="4"/>
        <v>1000</v>
      </c>
      <c r="F53" s="1">
        <v>0.5</v>
      </c>
      <c r="G53">
        <v>7</v>
      </c>
      <c r="H53">
        <v>2.2999999999999998</v>
      </c>
      <c r="I53" t="str">
        <f t="shared" si="5"/>
        <v>Poor</v>
      </c>
      <c r="J53" t="str">
        <f t="shared" si="3"/>
        <v>High Discount</v>
      </c>
    </row>
    <row r="54" spans="1:10" x14ac:dyDescent="0.35">
      <c r="A54">
        <v>53</v>
      </c>
      <c r="B54" t="s">
        <v>71</v>
      </c>
      <c r="C54">
        <v>345</v>
      </c>
      <c r="D54">
        <v>602</v>
      </c>
      <c r="E54" s="3">
        <f t="shared" si="4"/>
        <v>257</v>
      </c>
      <c r="F54" s="1">
        <v>0.43</v>
      </c>
      <c r="G54">
        <v>6</v>
      </c>
      <c r="H54">
        <v>2.2999999999999998</v>
      </c>
      <c r="I54" t="str">
        <f t="shared" si="5"/>
        <v>Poor</v>
      </c>
      <c r="J54" t="str">
        <f t="shared" si="3"/>
        <v>High Discount</v>
      </c>
    </row>
    <row r="55" spans="1:10" x14ac:dyDescent="0.35">
      <c r="A55">
        <v>54</v>
      </c>
      <c r="B55" t="s">
        <v>73</v>
      </c>
      <c r="C55">
        <v>968</v>
      </c>
      <c r="D55" s="3">
        <v>1814</v>
      </c>
      <c r="E55" s="3">
        <f t="shared" si="4"/>
        <v>846</v>
      </c>
      <c r="F55" s="1">
        <v>0.47</v>
      </c>
      <c r="G55">
        <v>6</v>
      </c>
      <c r="H55">
        <v>2.2000000000000002</v>
      </c>
      <c r="I55" t="str">
        <f t="shared" si="5"/>
        <v>Poor</v>
      </c>
      <c r="J55" t="str">
        <f t="shared" si="3"/>
        <v>High Discount</v>
      </c>
    </row>
    <row r="56" spans="1:10" x14ac:dyDescent="0.35">
      <c r="A56">
        <v>55</v>
      </c>
      <c r="B56" t="s">
        <v>66</v>
      </c>
      <c r="C56">
        <v>990</v>
      </c>
      <c r="D56" s="3">
        <v>1814</v>
      </c>
      <c r="E56" s="3">
        <f t="shared" si="4"/>
        <v>824</v>
      </c>
      <c r="F56" s="1">
        <v>0.45</v>
      </c>
      <c r="G56">
        <v>6</v>
      </c>
      <c r="H56">
        <v>2.2000000000000002</v>
      </c>
      <c r="I56" t="str">
        <f t="shared" si="5"/>
        <v>Poor</v>
      </c>
      <c r="J56" t="str">
        <f t="shared" ref="J56:J87" si="6">IF(F56&gt;=40%,"High Discount",IF(F56&gt;=20%,"Medium Discount","Low Dsicount"))</f>
        <v>High Discount</v>
      </c>
    </row>
    <row r="57" spans="1:10" x14ac:dyDescent="0.35">
      <c r="A57">
        <v>56</v>
      </c>
      <c r="B57" t="s">
        <v>62</v>
      </c>
      <c r="C57" s="3">
        <v>2115</v>
      </c>
      <c r="D57" s="3">
        <v>4700</v>
      </c>
      <c r="E57" s="3">
        <f t="shared" si="4"/>
        <v>2585</v>
      </c>
      <c r="F57" s="1">
        <v>0.55000000000000004</v>
      </c>
      <c r="G57">
        <v>13</v>
      </c>
      <c r="H57">
        <v>2.1</v>
      </c>
      <c r="I57" t="str">
        <f t="shared" si="5"/>
        <v>Poor</v>
      </c>
      <c r="J57" t="str">
        <f t="shared" si="6"/>
        <v>High Discount</v>
      </c>
    </row>
    <row r="58" spans="1:10" x14ac:dyDescent="0.35">
      <c r="A58">
        <v>57</v>
      </c>
      <c r="B58" t="s">
        <v>74</v>
      </c>
      <c r="C58" s="3">
        <v>1570</v>
      </c>
      <c r="D58" s="3">
        <v>2988</v>
      </c>
      <c r="E58" s="3">
        <f t="shared" si="4"/>
        <v>1418</v>
      </c>
      <c r="F58" s="1">
        <v>0.47</v>
      </c>
      <c r="G58">
        <v>7</v>
      </c>
      <c r="H58">
        <v>2.1</v>
      </c>
      <c r="I58" t="str">
        <f t="shared" si="5"/>
        <v>Poor</v>
      </c>
      <c r="J58" t="str">
        <f t="shared" si="6"/>
        <v>High Discount</v>
      </c>
    </row>
    <row r="59" spans="1:10" x14ac:dyDescent="0.35">
      <c r="A59">
        <v>58</v>
      </c>
      <c r="B59" t="s">
        <v>109</v>
      </c>
      <c r="C59">
        <v>450</v>
      </c>
      <c r="D59">
        <v>900</v>
      </c>
      <c r="E59" s="3">
        <f t="shared" si="4"/>
        <v>450</v>
      </c>
      <c r="F59" s="1">
        <v>0.5</v>
      </c>
      <c r="G59">
        <v>1</v>
      </c>
      <c r="H59">
        <v>2</v>
      </c>
      <c r="I59" t="str">
        <f t="shared" si="5"/>
        <v>Poor</v>
      </c>
      <c r="J59" t="str">
        <f t="shared" si="6"/>
        <v>High Discount</v>
      </c>
    </row>
    <row r="60" spans="1:10" x14ac:dyDescent="0.35">
      <c r="A60">
        <v>59</v>
      </c>
      <c r="B60" t="s">
        <v>108</v>
      </c>
      <c r="C60">
        <v>199</v>
      </c>
      <c r="D60">
        <v>553</v>
      </c>
      <c r="E60" s="3">
        <f t="shared" si="4"/>
        <v>354</v>
      </c>
      <c r="F60" s="1">
        <v>0.64</v>
      </c>
      <c r="G60">
        <v>0</v>
      </c>
      <c r="H60" t="s">
        <v>168</v>
      </c>
      <c r="I60" t="str">
        <f t="shared" si="5"/>
        <v>Excellent</v>
      </c>
      <c r="J60" t="str">
        <f t="shared" si="6"/>
        <v>High Discount</v>
      </c>
    </row>
    <row r="61" spans="1:10" x14ac:dyDescent="0.35">
      <c r="A61">
        <v>60</v>
      </c>
      <c r="B61" t="s">
        <v>50</v>
      </c>
      <c r="C61">
        <v>199</v>
      </c>
      <c r="D61">
        <v>504</v>
      </c>
      <c r="E61" s="3">
        <f t="shared" si="4"/>
        <v>305</v>
      </c>
      <c r="F61" s="1">
        <v>0.61</v>
      </c>
      <c r="G61">
        <v>0</v>
      </c>
      <c r="H61" t="s">
        <v>168</v>
      </c>
      <c r="I61" t="str">
        <f t="shared" si="5"/>
        <v>Excellent</v>
      </c>
      <c r="J61" t="str">
        <f t="shared" si="6"/>
        <v>High Discount</v>
      </c>
    </row>
    <row r="62" spans="1:10" x14ac:dyDescent="0.35">
      <c r="A62">
        <v>61</v>
      </c>
      <c r="B62" t="s">
        <v>56</v>
      </c>
      <c r="C62">
        <v>399</v>
      </c>
      <c r="D62">
        <v>896</v>
      </c>
      <c r="E62" s="3">
        <f t="shared" si="4"/>
        <v>497</v>
      </c>
      <c r="F62" s="1">
        <v>0.55000000000000004</v>
      </c>
      <c r="G62">
        <v>0</v>
      </c>
      <c r="H62" t="s">
        <v>168</v>
      </c>
      <c r="I62" t="str">
        <f t="shared" si="5"/>
        <v>Excellent</v>
      </c>
      <c r="J62" t="str">
        <f t="shared" si="6"/>
        <v>High Discount</v>
      </c>
    </row>
    <row r="63" spans="1:10" x14ac:dyDescent="0.35">
      <c r="A63">
        <v>62</v>
      </c>
      <c r="B63" t="s">
        <v>43</v>
      </c>
      <c r="C63">
        <v>238</v>
      </c>
      <c r="D63">
        <v>476</v>
      </c>
      <c r="E63" s="3">
        <f t="shared" si="4"/>
        <v>238</v>
      </c>
      <c r="F63" s="1">
        <v>0.5</v>
      </c>
      <c r="G63">
        <v>0</v>
      </c>
      <c r="H63" t="s">
        <v>168</v>
      </c>
      <c r="I63" t="str">
        <f t="shared" si="5"/>
        <v>Excellent</v>
      </c>
      <c r="J63" t="str">
        <f t="shared" si="6"/>
        <v>High Discount</v>
      </c>
    </row>
    <row r="64" spans="1:10" x14ac:dyDescent="0.35">
      <c r="A64">
        <v>63</v>
      </c>
      <c r="B64" t="s">
        <v>46</v>
      </c>
      <c r="C64">
        <v>999</v>
      </c>
      <c r="D64" s="3">
        <v>2000</v>
      </c>
      <c r="E64" s="3">
        <f t="shared" si="4"/>
        <v>1001</v>
      </c>
      <c r="F64" s="1">
        <v>0.5</v>
      </c>
      <c r="G64">
        <v>0</v>
      </c>
      <c r="H64" t="s">
        <v>168</v>
      </c>
      <c r="I64" t="str">
        <f t="shared" si="5"/>
        <v>Excellent</v>
      </c>
      <c r="J64" t="str">
        <f t="shared" si="6"/>
        <v>High Discount</v>
      </c>
    </row>
    <row r="65" spans="1:10" x14ac:dyDescent="0.35">
      <c r="A65">
        <v>64</v>
      </c>
      <c r="B65" t="s">
        <v>51</v>
      </c>
      <c r="C65">
        <v>299</v>
      </c>
      <c r="D65">
        <v>600</v>
      </c>
      <c r="E65" s="3">
        <f t="shared" si="4"/>
        <v>301</v>
      </c>
      <c r="F65" s="1">
        <v>0.5</v>
      </c>
      <c r="G65">
        <v>0</v>
      </c>
      <c r="H65" t="s">
        <v>168</v>
      </c>
      <c r="I65" t="str">
        <f t="shared" si="5"/>
        <v>Excellent</v>
      </c>
      <c r="J65" t="str">
        <f t="shared" si="6"/>
        <v>High Discount</v>
      </c>
    </row>
    <row r="66" spans="1:10" x14ac:dyDescent="0.35">
      <c r="A66">
        <v>65</v>
      </c>
      <c r="B66" t="s">
        <v>89</v>
      </c>
      <c r="C66">
        <v>850</v>
      </c>
      <c r="D66" s="3">
        <v>1700</v>
      </c>
      <c r="E66" s="3">
        <f t="shared" ref="E66:E97" si="7">D66-C66</f>
        <v>850</v>
      </c>
      <c r="F66" s="1">
        <v>0.5</v>
      </c>
      <c r="G66">
        <v>0</v>
      </c>
      <c r="H66" t="s">
        <v>168</v>
      </c>
      <c r="I66" t="str">
        <f t="shared" ref="I66:I97" si="8">IF(H66&gt;=4.5,"Excellent",IF(H66&gt;=3,"Average","Poor"))</f>
        <v>Excellent</v>
      </c>
      <c r="J66" t="str">
        <f t="shared" si="6"/>
        <v>High Discount</v>
      </c>
    </row>
    <row r="67" spans="1:10" x14ac:dyDescent="0.35">
      <c r="A67">
        <v>66</v>
      </c>
      <c r="B67" t="s">
        <v>93</v>
      </c>
      <c r="C67" s="3">
        <v>1200</v>
      </c>
      <c r="D67" s="3">
        <v>2400</v>
      </c>
      <c r="E67" s="3">
        <f t="shared" si="7"/>
        <v>1200</v>
      </c>
      <c r="F67" s="1">
        <v>0.5</v>
      </c>
      <c r="G67">
        <v>0</v>
      </c>
      <c r="H67" t="s">
        <v>168</v>
      </c>
      <c r="I67" t="str">
        <f t="shared" si="8"/>
        <v>Excellent</v>
      </c>
      <c r="J67" t="str">
        <f t="shared" si="6"/>
        <v>High Discount</v>
      </c>
    </row>
    <row r="68" spans="1:10" x14ac:dyDescent="0.35">
      <c r="A68">
        <v>67</v>
      </c>
      <c r="B68" t="s">
        <v>42</v>
      </c>
      <c r="C68">
        <v>475</v>
      </c>
      <c r="D68">
        <v>931</v>
      </c>
      <c r="E68" s="3">
        <f t="shared" si="7"/>
        <v>456</v>
      </c>
      <c r="F68" s="1">
        <v>0.49</v>
      </c>
      <c r="G68">
        <v>0</v>
      </c>
      <c r="H68" t="s">
        <v>168</v>
      </c>
      <c r="I68" t="str">
        <f t="shared" si="8"/>
        <v>Excellent</v>
      </c>
      <c r="J68" t="str">
        <f t="shared" si="6"/>
        <v>High Discount</v>
      </c>
    </row>
    <row r="69" spans="1:10" x14ac:dyDescent="0.35">
      <c r="A69">
        <v>68</v>
      </c>
      <c r="B69" t="s">
        <v>48</v>
      </c>
      <c r="C69">
        <v>671</v>
      </c>
      <c r="D69" s="3">
        <v>1316</v>
      </c>
      <c r="E69" s="3">
        <f t="shared" si="7"/>
        <v>645</v>
      </c>
      <c r="F69" s="1">
        <v>0.49</v>
      </c>
      <c r="G69">
        <v>0</v>
      </c>
      <c r="H69" t="s">
        <v>168</v>
      </c>
      <c r="I69" t="str">
        <f t="shared" si="8"/>
        <v>Excellent</v>
      </c>
      <c r="J69" t="str">
        <f t="shared" si="6"/>
        <v>High Discount</v>
      </c>
    </row>
    <row r="70" spans="1:10" x14ac:dyDescent="0.35">
      <c r="A70">
        <v>69</v>
      </c>
      <c r="B70" t="s">
        <v>58</v>
      </c>
      <c r="C70">
        <v>799</v>
      </c>
      <c r="D70" s="3">
        <v>1567</v>
      </c>
      <c r="E70" s="3">
        <f t="shared" si="7"/>
        <v>768</v>
      </c>
      <c r="F70" s="1">
        <v>0.49</v>
      </c>
      <c r="G70">
        <v>0</v>
      </c>
      <c r="H70" t="s">
        <v>168</v>
      </c>
      <c r="I70" t="str">
        <f t="shared" si="8"/>
        <v>Excellent</v>
      </c>
      <c r="J70" t="str">
        <f t="shared" si="6"/>
        <v>High Discount</v>
      </c>
    </row>
    <row r="71" spans="1:10" x14ac:dyDescent="0.35">
      <c r="A71">
        <v>70</v>
      </c>
      <c r="B71" t="s">
        <v>78</v>
      </c>
      <c r="C71">
        <v>230</v>
      </c>
      <c r="D71">
        <v>450</v>
      </c>
      <c r="E71" s="3">
        <f t="shared" si="7"/>
        <v>220</v>
      </c>
      <c r="F71" s="1">
        <v>0.49</v>
      </c>
      <c r="G71">
        <v>0</v>
      </c>
      <c r="H71" t="s">
        <v>168</v>
      </c>
      <c r="I71" t="str">
        <f t="shared" si="8"/>
        <v>Excellent</v>
      </c>
      <c r="J71" t="str">
        <f t="shared" si="6"/>
        <v>High Discount</v>
      </c>
    </row>
    <row r="72" spans="1:10" x14ac:dyDescent="0.35">
      <c r="A72">
        <v>71</v>
      </c>
      <c r="B72" t="s">
        <v>50</v>
      </c>
      <c r="C72">
        <v>176</v>
      </c>
      <c r="D72">
        <v>345</v>
      </c>
      <c r="E72" s="3">
        <f t="shared" si="7"/>
        <v>169</v>
      </c>
      <c r="F72" s="1">
        <v>0.49</v>
      </c>
      <c r="G72">
        <v>0</v>
      </c>
      <c r="H72" t="s">
        <v>168</v>
      </c>
      <c r="I72" t="str">
        <f t="shared" si="8"/>
        <v>Excellent</v>
      </c>
      <c r="J72" t="str">
        <f t="shared" si="6"/>
        <v>High Discount</v>
      </c>
    </row>
    <row r="73" spans="1:10" x14ac:dyDescent="0.35">
      <c r="A73">
        <v>72</v>
      </c>
      <c r="B73" t="s">
        <v>85</v>
      </c>
      <c r="C73">
        <v>274</v>
      </c>
      <c r="D73">
        <v>537</v>
      </c>
      <c r="E73" s="3">
        <f t="shared" si="7"/>
        <v>263</v>
      </c>
      <c r="F73" s="1">
        <v>0.49</v>
      </c>
      <c r="G73">
        <v>0</v>
      </c>
      <c r="H73" t="s">
        <v>168</v>
      </c>
      <c r="I73" t="str">
        <f t="shared" si="8"/>
        <v>Excellent</v>
      </c>
      <c r="J73" t="str">
        <f t="shared" si="6"/>
        <v>High Discount</v>
      </c>
    </row>
    <row r="74" spans="1:10" x14ac:dyDescent="0.35">
      <c r="A74">
        <v>73</v>
      </c>
      <c r="B74" t="s">
        <v>58</v>
      </c>
      <c r="C74">
        <v>657</v>
      </c>
      <c r="D74" s="3">
        <v>1288</v>
      </c>
      <c r="E74" s="3">
        <f t="shared" si="7"/>
        <v>631</v>
      </c>
      <c r="F74" s="1">
        <v>0.49</v>
      </c>
      <c r="G74">
        <v>0</v>
      </c>
      <c r="H74" t="s">
        <v>168</v>
      </c>
      <c r="I74" t="str">
        <f t="shared" si="8"/>
        <v>Excellent</v>
      </c>
      <c r="J74" t="str">
        <f t="shared" si="6"/>
        <v>High Discount</v>
      </c>
    </row>
    <row r="75" spans="1:10" x14ac:dyDescent="0.35">
      <c r="A75">
        <v>74</v>
      </c>
      <c r="B75" t="s">
        <v>96</v>
      </c>
      <c r="C75">
        <v>248</v>
      </c>
      <c r="D75">
        <v>486</v>
      </c>
      <c r="E75" s="3">
        <f t="shared" si="7"/>
        <v>238</v>
      </c>
      <c r="F75" s="1">
        <v>0.49</v>
      </c>
      <c r="G75">
        <v>0</v>
      </c>
      <c r="H75" t="s">
        <v>168</v>
      </c>
      <c r="I75" t="str">
        <f t="shared" si="8"/>
        <v>Excellent</v>
      </c>
      <c r="J75" t="str">
        <f t="shared" si="6"/>
        <v>High Discount</v>
      </c>
    </row>
    <row r="76" spans="1:10" x14ac:dyDescent="0.35">
      <c r="A76">
        <v>75</v>
      </c>
      <c r="B76" t="s">
        <v>98</v>
      </c>
      <c r="C76">
        <v>525</v>
      </c>
      <c r="D76" s="3">
        <v>1029</v>
      </c>
      <c r="E76" s="3">
        <f t="shared" si="7"/>
        <v>504</v>
      </c>
      <c r="F76" s="1">
        <v>0.49</v>
      </c>
      <c r="G76">
        <v>0</v>
      </c>
      <c r="H76" t="s">
        <v>168</v>
      </c>
      <c r="I76" t="str">
        <f t="shared" si="8"/>
        <v>Excellent</v>
      </c>
      <c r="J76" t="str">
        <f t="shared" si="6"/>
        <v>High Discount</v>
      </c>
    </row>
    <row r="77" spans="1:10" x14ac:dyDescent="0.35">
      <c r="A77">
        <v>76</v>
      </c>
      <c r="B77" t="s">
        <v>57</v>
      </c>
      <c r="C77">
        <v>699</v>
      </c>
      <c r="D77" s="3">
        <v>1343</v>
      </c>
      <c r="E77" s="3">
        <f t="shared" si="7"/>
        <v>644</v>
      </c>
      <c r="F77" s="1">
        <v>0.48</v>
      </c>
      <c r="G77">
        <v>0</v>
      </c>
      <c r="H77" t="s">
        <v>168</v>
      </c>
      <c r="I77" t="str">
        <f t="shared" si="8"/>
        <v>Excellent</v>
      </c>
      <c r="J77" t="str">
        <f t="shared" si="6"/>
        <v>High Discount</v>
      </c>
    </row>
    <row r="78" spans="1:10" x14ac:dyDescent="0.35">
      <c r="A78">
        <v>77</v>
      </c>
      <c r="B78" t="s">
        <v>90</v>
      </c>
      <c r="C78" s="3">
        <v>1300</v>
      </c>
      <c r="D78" s="3">
        <v>2500</v>
      </c>
      <c r="E78" s="3">
        <f t="shared" si="7"/>
        <v>1200</v>
      </c>
      <c r="F78" s="1">
        <v>0.48</v>
      </c>
      <c r="G78">
        <v>0</v>
      </c>
      <c r="H78" t="s">
        <v>168</v>
      </c>
      <c r="I78" t="str">
        <f t="shared" si="8"/>
        <v>Excellent</v>
      </c>
      <c r="J78" t="str">
        <f t="shared" si="6"/>
        <v>High Discount</v>
      </c>
    </row>
    <row r="79" spans="1:10" x14ac:dyDescent="0.35">
      <c r="A79">
        <v>78</v>
      </c>
      <c r="B79" t="s">
        <v>91</v>
      </c>
      <c r="C79">
        <v>105</v>
      </c>
      <c r="D79">
        <v>200</v>
      </c>
      <c r="E79" s="3">
        <f t="shared" si="7"/>
        <v>95</v>
      </c>
      <c r="F79" s="1">
        <v>0.48</v>
      </c>
      <c r="G79">
        <v>0</v>
      </c>
      <c r="H79" t="s">
        <v>168</v>
      </c>
      <c r="I79" t="str">
        <f t="shared" si="8"/>
        <v>Excellent</v>
      </c>
      <c r="J79" t="str">
        <f t="shared" si="6"/>
        <v>High Discount</v>
      </c>
    </row>
    <row r="80" spans="1:10" x14ac:dyDescent="0.35">
      <c r="A80">
        <v>79</v>
      </c>
      <c r="B80" t="s">
        <v>75</v>
      </c>
      <c r="C80">
        <v>790</v>
      </c>
      <c r="D80" s="3">
        <v>1485</v>
      </c>
      <c r="E80" s="3">
        <f t="shared" si="7"/>
        <v>695</v>
      </c>
      <c r="F80" s="1">
        <v>0.47</v>
      </c>
      <c r="G80">
        <v>0</v>
      </c>
      <c r="H80" t="s">
        <v>168</v>
      </c>
      <c r="I80" t="str">
        <f t="shared" si="8"/>
        <v>Excellent</v>
      </c>
      <c r="J80" t="str">
        <f t="shared" si="6"/>
        <v>High Discount</v>
      </c>
    </row>
    <row r="81" spans="1:10" x14ac:dyDescent="0.35">
      <c r="A81">
        <v>80</v>
      </c>
      <c r="B81" t="s">
        <v>92</v>
      </c>
      <c r="C81">
        <v>899</v>
      </c>
      <c r="D81" s="3">
        <v>1699</v>
      </c>
      <c r="E81" s="3">
        <f t="shared" si="7"/>
        <v>800</v>
      </c>
      <c r="F81" s="1">
        <v>0.47</v>
      </c>
      <c r="G81">
        <v>0</v>
      </c>
      <c r="H81" t="s">
        <v>168</v>
      </c>
      <c r="I81" t="str">
        <f t="shared" si="8"/>
        <v>Excellent</v>
      </c>
      <c r="J81" t="str">
        <f t="shared" si="6"/>
        <v>High Discount</v>
      </c>
    </row>
    <row r="82" spans="1:10" x14ac:dyDescent="0.35">
      <c r="A82">
        <v>81</v>
      </c>
      <c r="B82" t="s">
        <v>110</v>
      </c>
      <c r="C82">
        <v>169</v>
      </c>
      <c r="D82">
        <v>320</v>
      </c>
      <c r="E82" s="3">
        <f t="shared" si="7"/>
        <v>151</v>
      </c>
      <c r="F82" s="1">
        <v>0.47</v>
      </c>
      <c r="G82">
        <v>0</v>
      </c>
      <c r="H82" t="s">
        <v>168</v>
      </c>
      <c r="I82" t="str">
        <f t="shared" si="8"/>
        <v>Excellent</v>
      </c>
      <c r="J82" t="str">
        <f t="shared" si="6"/>
        <v>High Discount</v>
      </c>
    </row>
    <row r="83" spans="1:10" x14ac:dyDescent="0.35">
      <c r="A83">
        <v>82</v>
      </c>
      <c r="B83" t="s">
        <v>32</v>
      </c>
      <c r="C83" s="3">
        <v>2200</v>
      </c>
      <c r="D83" s="3">
        <v>4080</v>
      </c>
      <c r="E83" s="3">
        <f t="shared" si="7"/>
        <v>1880</v>
      </c>
      <c r="F83" s="1">
        <v>0.46</v>
      </c>
      <c r="G83">
        <v>0</v>
      </c>
      <c r="H83" t="s">
        <v>168</v>
      </c>
      <c r="I83" t="str">
        <f t="shared" si="8"/>
        <v>Excellent</v>
      </c>
      <c r="J83" t="str">
        <f t="shared" si="6"/>
        <v>High Discount</v>
      </c>
    </row>
    <row r="84" spans="1:10" x14ac:dyDescent="0.35">
      <c r="A84">
        <v>83</v>
      </c>
      <c r="B84" t="s">
        <v>56</v>
      </c>
      <c r="C84">
        <v>499</v>
      </c>
      <c r="D84">
        <v>900</v>
      </c>
      <c r="E84" s="3">
        <f t="shared" si="7"/>
        <v>401</v>
      </c>
      <c r="F84" s="1">
        <v>0.45</v>
      </c>
      <c r="G84">
        <v>0</v>
      </c>
      <c r="H84" t="s">
        <v>168</v>
      </c>
      <c r="I84" t="str">
        <f t="shared" si="8"/>
        <v>Excellent</v>
      </c>
      <c r="J84" t="str">
        <f t="shared" si="6"/>
        <v>High Discount</v>
      </c>
    </row>
    <row r="85" spans="1:10" x14ac:dyDescent="0.35">
      <c r="A85">
        <v>84</v>
      </c>
      <c r="B85" t="s">
        <v>76</v>
      </c>
      <c r="C85">
        <v>690</v>
      </c>
      <c r="D85" s="3">
        <v>1200</v>
      </c>
      <c r="E85" s="3">
        <f t="shared" si="7"/>
        <v>510</v>
      </c>
      <c r="F85" s="1">
        <v>0.43</v>
      </c>
      <c r="G85">
        <v>0</v>
      </c>
      <c r="H85" t="s">
        <v>168</v>
      </c>
      <c r="I85" t="str">
        <f t="shared" si="8"/>
        <v>Excellent</v>
      </c>
      <c r="J85" t="str">
        <f t="shared" si="6"/>
        <v>High Discount</v>
      </c>
    </row>
    <row r="86" spans="1:10" x14ac:dyDescent="0.35">
      <c r="A86">
        <v>85</v>
      </c>
      <c r="B86" t="s">
        <v>88</v>
      </c>
      <c r="C86">
        <v>630</v>
      </c>
      <c r="D86" s="3">
        <v>1100</v>
      </c>
      <c r="E86" s="3">
        <f t="shared" si="7"/>
        <v>470</v>
      </c>
      <c r="F86" s="1">
        <v>0.43</v>
      </c>
      <c r="G86">
        <v>0</v>
      </c>
      <c r="H86" t="s">
        <v>168</v>
      </c>
      <c r="I86" t="str">
        <f t="shared" si="8"/>
        <v>Excellent</v>
      </c>
      <c r="J86" t="str">
        <f t="shared" si="6"/>
        <v>High Discount</v>
      </c>
    </row>
    <row r="87" spans="1:10" x14ac:dyDescent="0.35">
      <c r="A87">
        <v>86</v>
      </c>
      <c r="B87" t="s">
        <v>24</v>
      </c>
      <c r="C87" s="3">
        <v>1860</v>
      </c>
      <c r="D87" s="3">
        <v>3220</v>
      </c>
      <c r="E87" s="3">
        <f t="shared" si="7"/>
        <v>1360</v>
      </c>
      <c r="F87" s="1">
        <v>0.42</v>
      </c>
      <c r="G87">
        <v>0</v>
      </c>
      <c r="H87" t="s">
        <v>168</v>
      </c>
      <c r="I87" t="str">
        <f t="shared" si="8"/>
        <v>Excellent</v>
      </c>
      <c r="J87" t="str">
        <f t="shared" si="6"/>
        <v>High Discount</v>
      </c>
    </row>
    <row r="88" spans="1:10" x14ac:dyDescent="0.35">
      <c r="A88">
        <v>87</v>
      </c>
      <c r="B88" t="s">
        <v>44</v>
      </c>
      <c r="C88">
        <v>610</v>
      </c>
      <c r="D88" s="3">
        <v>1060</v>
      </c>
      <c r="E88" s="3">
        <f t="shared" si="7"/>
        <v>450</v>
      </c>
      <c r="F88" s="1">
        <v>0.42</v>
      </c>
      <c r="G88">
        <v>0</v>
      </c>
      <c r="H88" t="s">
        <v>168</v>
      </c>
      <c r="I88" t="str">
        <f t="shared" si="8"/>
        <v>Excellent</v>
      </c>
      <c r="J88" t="str">
        <f t="shared" ref="J88:J114" si="9">IF(F88&gt;=40%,"High Discount",IF(F88&gt;=20%,"Medium Discount","Low Dsicount"))</f>
        <v>High Discount</v>
      </c>
    </row>
    <row r="89" spans="1:10" x14ac:dyDescent="0.35">
      <c r="A89">
        <v>88</v>
      </c>
      <c r="B89" t="s">
        <v>99</v>
      </c>
      <c r="C89" s="3">
        <v>1080</v>
      </c>
      <c r="D89" s="3">
        <v>1874</v>
      </c>
      <c r="E89" s="3">
        <f t="shared" si="7"/>
        <v>794</v>
      </c>
      <c r="F89" s="1">
        <v>0.42</v>
      </c>
      <c r="G89">
        <v>0</v>
      </c>
      <c r="H89" t="s">
        <v>168</v>
      </c>
      <c r="I89" t="str">
        <f t="shared" si="8"/>
        <v>Excellent</v>
      </c>
      <c r="J89" t="str">
        <f t="shared" si="9"/>
        <v>High Discount</v>
      </c>
    </row>
    <row r="90" spans="1:10" x14ac:dyDescent="0.35">
      <c r="A90">
        <v>89</v>
      </c>
      <c r="B90" t="s">
        <v>55</v>
      </c>
      <c r="C90">
        <v>799</v>
      </c>
      <c r="D90" s="3">
        <v>1343</v>
      </c>
      <c r="E90" s="3">
        <f t="shared" si="7"/>
        <v>544</v>
      </c>
      <c r="F90" s="1">
        <v>0.41</v>
      </c>
      <c r="G90">
        <v>0</v>
      </c>
      <c r="H90" t="s">
        <v>168</v>
      </c>
      <c r="I90" t="str">
        <f t="shared" si="8"/>
        <v>Excellent</v>
      </c>
      <c r="J90" t="str">
        <f t="shared" si="9"/>
        <v>High Discount</v>
      </c>
    </row>
    <row r="91" spans="1:10" x14ac:dyDescent="0.35">
      <c r="A91">
        <v>90</v>
      </c>
      <c r="B91" t="s">
        <v>101</v>
      </c>
      <c r="C91" s="3">
        <v>1420</v>
      </c>
      <c r="D91" s="3">
        <v>2420</v>
      </c>
      <c r="E91" s="3">
        <f t="shared" si="7"/>
        <v>1000</v>
      </c>
      <c r="F91" s="1">
        <v>0.41</v>
      </c>
      <c r="G91">
        <v>0</v>
      </c>
      <c r="H91" t="s">
        <v>168</v>
      </c>
      <c r="I91" t="str">
        <f t="shared" si="8"/>
        <v>Excellent</v>
      </c>
      <c r="J91" t="str">
        <f t="shared" si="9"/>
        <v>High Discount</v>
      </c>
    </row>
    <row r="92" spans="1:10" x14ac:dyDescent="0.35">
      <c r="A92">
        <v>91</v>
      </c>
      <c r="B92" t="s">
        <v>41</v>
      </c>
      <c r="C92" s="3">
        <v>2750</v>
      </c>
      <c r="D92" s="3">
        <v>4471</v>
      </c>
      <c r="E92" s="3">
        <f t="shared" si="7"/>
        <v>1721</v>
      </c>
      <c r="F92" s="1">
        <v>0.38</v>
      </c>
      <c r="G92">
        <v>0</v>
      </c>
      <c r="H92" t="s">
        <v>168</v>
      </c>
      <c r="I92" t="str">
        <f t="shared" si="8"/>
        <v>Excellent</v>
      </c>
      <c r="J92" t="str">
        <f t="shared" si="9"/>
        <v>Medium Discount</v>
      </c>
    </row>
    <row r="93" spans="1:10" x14ac:dyDescent="0.35">
      <c r="A93">
        <v>92</v>
      </c>
      <c r="B93" t="s">
        <v>49</v>
      </c>
      <c r="C93" s="3">
        <v>1200</v>
      </c>
      <c r="D93" s="3">
        <v>1950</v>
      </c>
      <c r="E93" s="3">
        <f t="shared" si="7"/>
        <v>750</v>
      </c>
      <c r="F93" s="1">
        <v>0.38</v>
      </c>
      <c r="G93">
        <v>0</v>
      </c>
      <c r="H93" t="s">
        <v>168</v>
      </c>
      <c r="I93" t="str">
        <f t="shared" si="8"/>
        <v>Excellent</v>
      </c>
      <c r="J93" t="str">
        <f t="shared" si="9"/>
        <v>Medium Discount</v>
      </c>
    </row>
    <row r="94" spans="1:10" x14ac:dyDescent="0.35">
      <c r="A94">
        <v>93</v>
      </c>
      <c r="B94" t="s">
        <v>81</v>
      </c>
      <c r="C94" s="3">
        <v>1460</v>
      </c>
      <c r="D94" s="3">
        <v>2290</v>
      </c>
      <c r="E94" s="3">
        <f t="shared" si="7"/>
        <v>830</v>
      </c>
      <c r="F94" s="1">
        <v>0.36</v>
      </c>
      <c r="G94">
        <v>0</v>
      </c>
      <c r="H94" t="s">
        <v>168</v>
      </c>
      <c r="I94" t="str">
        <f t="shared" si="8"/>
        <v>Excellent</v>
      </c>
      <c r="J94" t="str">
        <f t="shared" si="9"/>
        <v>Medium Discount</v>
      </c>
    </row>
    <row r="95" spans="1:10" x14ac:dyDescent="0.35">
      <c r="A95">
        <v>94</v>
      </c>
      <c r="B95" t="s">
        <v>104</v>
      </c>
      <c r="C95" s="3">
        <v>1150</v>
      </c>
      <c r="D95" s="3">
        <v>1737</v>
      </c>
      <c r="E95" s="3">
        <f t="shared" si="7"/>
        <v>587</v>
      </c>
      <c r="F95" s="1">
        <v>0.34</v>
      </c>
      <c r="G95">
        <v>0</v>
      </c>
      <c r="H95" t="s">
        <v>168</v>
      </c>
      <c r="I95" t="str">
        <f t="shared" si="8"/>
        <v>Excellent</v>
      </c>
      <c r="J95" t="str">
        <f t="shared" si="9"/>
        <v>Medium Discount</v>
      </c>
    </row>
    <row r="96" spans="1:10" x14ac:dyDescent="0.35">
      <c r="A96">
        <v>95</v>
      </c>
      <c r="B96" t="s">
        <v>105</v>
      </c>
      <c r="C96" s="3">
        <v>1190</v>
      </c>
      <c r="D96" s="3">
        <v>1810</v>
      </c>
      <c r="E96" s="3">
        <f t="shared" si="7"/>
        <v>620</v>
      </c>
      <c r="F96" s="1">
        <v>0.34</v>
      </c>
      <c r="G96">
        <v>0</v>
      </c>
      <c r="H96" t="s">
        <v>168</v>
      </c>
      <c r="I96" t="str">
        <f t="shared" si="8"/>
        <v>Excellent</v>
      </c>
      <c r="J96" t="str">
        <f t="shared" si="9"/>
        <v>Medium Discount</v>
      </c>
    </row>
    <row r="97" spans="1:10" x14ac:dyDescent="0.35">
      <c r="A97">
        <v>96</v>
      </c>
      <c r="B97" t="s">
        <v>47</v>
      </c>
      <c r="C97" s="3">
        <v>1190</v>
      </c>
      <c r="D97" s="3">
        <v>1785</v>
      </c>
      <c r="E97" s="3">
        <f t="shared" si="7"/>
        <v>595</v>
      </c>
      <c r="F97" s="1">
        <v>0.33</v>
      </c>
      <c r="G97">
        <v>0</v>
      </c>
      <c r="H97" t="s">
        <v>168</v>
      </c>
      <c r="I97" t="str">
        <f t="shared" si="8"/>
        <v>Excellent</v>
      </c>
      <c r="J97" t="str">
        <f t="shared" si="9"/>
        <v>Medium Discount</v>
      </c>
    </row>
    <row r="98" spans="1:10" x14ac:dyDescent="0.35">
      <c r="A98">
        <v>97</v>
      </c>
      <c r="B98" t="s">
        <v>59</v>
      </c>
      <c r="C98" s="3">
        <v>2799</v>
      </c>
      <c r="D98" s="3">
        <v>3810</v>
      </c>
      <c r="E98" s="3">
        <f t="shared" ref="E98:E114" si="10">D98-C98</f>
        <v>1011</v>
      </c>
      <c r="F98" s="1">
        <v>0.27</v>
      </c>
      <c r="G98">
        <v>0</v>
      </c>
      <c r="H98" t="s">
        <v>168</v>
      </c>
      <c r="I98" t="str">
        <f t="shared" ref="I98:I114" si="11">IF(H98&gt;=4.5,"Excellent",IF(H98&gt;=3,"Average","Poor"))</f>
        <v>Excellent</v>
      </c>
      <c r="J98" t="str">
        <f t="shared" si="9"/>
        <v>Medium Discount</v>
      </c>
    </row>
    <row r="99" spans="1:10" x14ac:dyDescent="0.35">
      <c r="A99">
        <v>98</v>
      </c>
      <c r="B99" t="s">
        <v>103</v>
      </c>
      <c r="C99">
        <v>198</v>
      </c>
      <c r="D99">
        <v>260</v>
      </c>
      <c r="E99" s="3">
        <f t="shared" si="10"/>
        <v>62</v>
      </c>
      <c r="F99" s="1">
        <v>0.24</v>
      </c>
      <c r="G99">
        <v>0</v>
      </c>
      <c r="H99" t="s">
        <v>168</v>
      </c>
      <c r="I99" t="str">
        <f t="shared" si="11"/>
        <v>Excellent</v>
      </c>
      <c r="J99" t="str">
        <f t="shared" si="9"/>
        <v>Medium Discount</v>
      </c>
    </row>
    <row r="100" spans="1:10" x14ac:dyDescent="0.35">
      <c r="A100">
        <v>99</v>
      </c>
      <c r="B100" t="s">
        <v>53</v>
      </c>
      <c r="C100">
        <v>299</v>
      </c>
      <c r="D100">
        <v>384</v>
      </c>
      <c r="E100" s="3">
        <f t="shared" si="10"/>
        <v>85</v>
      </c>
      <c r="F100" s="1">
        <v>0.22</v>
      </c>
      <c r="G100">
        <v>0</v>
      </c>
      <c r="H100" t="s">
        <v>168</v>
      </c>
      <c r="I100" t="str">
        <f t="shared" si="11"/>
        <v>Excellent</v>
      </c>
      <c r="J100" t="str">
        <f t="shared" si="9"/>
        <v>Medium Discount</v>
      </c>
    </row>
    <row r="101" spans="1:10" x14ac:dyDescent="0.35">
      <c r="A101">
        <v>100</v>
      </c>
      <c r="B101" t="s">
        <v>84</v>
      </c>
      <c r="C101" s="3">
        <v>1466</v>
      </c>
      <c r="D101" s="3">
        <v>1699</v>
      </c>
      <c r="E101" s="3">
        <f t="shared" si="10"/>
        <v>233</v>
      </c>
      <c r="F101" s="1">
        <v>0.14000000000000001</v>
      </c>
      <c r="G101">
        <v>0</v>
      </c>
      <c r="H101" t="s">
        <v>168</v>
      </c>
      <c r="I101" t="str">
        <f t="shared" si="11"/>
        <v>Excellent</v>
      </c>
      <c r="J101" t="str">
        <f t="shared" si="9"/>
        <v>Low Dsicount</v>
      </c>
    </row>
    <row r="102" spans="1:10" x14ac:dyDescent="0.35">
      <c r="A102">
        <v>101</v>
      </c>
      <c r="B102" t="s">
        <v>87</v>
      </c>
      <c r="C102" s="3">
        <v>1468</v>
      </c>
      <c r="D102" s="3">
        <v>1699</v>
      </c>
      <c r="E102" s="3">
        <f t="shared" si="10"/>
        <v>231</v>
      </c>
      <c r="F102" s="1">
        <v>0.14000000000000001</v>
      </c>
      <c r="G102">
        <v>0</v>
      </c>
      <c r="H102" t="s">
        <v>168</v>
      </c>
      <c r="I102" t="str">
        <f t="shared" si="11"/>
        <v>Excellent</v>
      </c>
      <c r="J102" t="str">
        <f t="shared" si="9"/>
        <v>Low Dsicount</v>
      </c>
    </row>
    <row r="103" spans="1:10" x14ac:dyDescent="0.35">
      <c r="A103">
        <v>102</v>
      </c>
      <c r="B103" t="s">
        <v>86</v>
      </c>
      <c r="C103">
        <v>799</v>
      </c>
      <c r="D103">
        <v>900</v>
      </c>
      <c r="E103" s="3">
        <f t="shared" si="10"/>
        <v>101</v>
      </c>
      <c r="F103" s="1">
        <v>0.11</v>
      </c>
      <c r="G103">
        <v>0</v>
      </c>
      <c r="H103" t="s">
        <v>168</v>
      </c>
      <c r="I103" t="str">
        <f t="shared" si="11"/>
        <v>Excellent</v>
      </c>
      <c r="J103" t="str">
        <f t="shared" si="9"/>
        <v>Low Dsicount</v>
      </c>
    </row>
    <row r="104" spans="1:10" x14ac:dyDescent="0.35">
      <c r="A104">
        <v>103</v>
      </c>
      <c r="B104" t="s">
        <v>94</v>
      </c>
      <c r="C104" s="3">
        <v>1526</v>
      </c>
      <c r="D104" s="3">
        <v>1660</v>
      </c>
      <c r="E104" s="3">
        <f t="shared" si="10"/>
        <v>134</v>
      </c>
      <c r="F104" s="1">
        <v>0.08</v>
      </c>
      <c r="G104">
        <v>0</v>
      </c>
      <c r="H104" t="s">
        <v>168</v>
      </c>
      <c r="I104" t="str">
        <f t="shared" si="11"/>
        <v>Excellent</v>
      </c>
      <c r="J104" t="str">
        <f t="shared" si="9"/>
        <v>Low Dsicount</v>
      </c>
    </row>
    <row r="105" spans="1:10" x14ac:dyDescent="0.35">
      <c r="A105">
        <v>104</v>
      </c>
      <c r="B105" t="s">
        <v>77</v>
      </c>
      <c r="C105" s="3">
        <v>1732</v>
      </c>
      <c r="D105" s="3">
        <v>1799</v>
      </c>
      <c r="E105" s="3">
        <f t="shared" si="10"/>
        <v>67</v>
      </c>
      <c r="F105" s="1">
        <v>0.04</v>
      </c>
      <c r="G105">
        <v>0</v>
      </c>
      <c r="H105" t="s">
        <v>168</v>
      </c>
      <c r="I105" t="str">
        <f t="shared" si="11"/>
        <v>Excellent</v>
      </c>
      <c r="J105" t="str">
        <f t="shared" si="9"/>
        <v>Low Dsicount</v>
      </c>
    </row>
    <row r="106" spans="1:10" x14ac:dyDescent="0.35">
      <c r="A106">
        <v>105</v>
      </c>
      <c r="B106" t="s">
        <v>97</v>
      </c>
      <c r="C106" s="3">
        <v>3546</v>
      </c>
      <c r="D106" s="3">
        <v>3699</v>
      </c>
      <c r="E106" s="3">
        <f t="shared" si="10"/>
        <v>153</v>
      </c>
      <c r="F106" s="1">
        <v>0.04</v>
      </c>
      <c r="G106">
        <v>0</v>
      </c>
      <c r="H106" t="s">
        <v>168</v>
      </c>
      <c r="I106" t="str">
        <f t="shared" si="11"/>
        <v>Excellent</v>
      </c>
      <c r="J106" t="str">
        <f t="shared" si="9"/>
        <v>Low Dsicount</v>
      </c>
    </row>
    <row r="107" spans="1:10" x14ac:dyDescent="0.35">
      <c r="A107">
        <v>106</v>
      </c>
      <c r="B107" t="s">
        <v>54</v>
      </c>
      <c r="C107" s="3">
        <v>1459</v>
      </c>
      <c r="D107" s="3">
        <v>1499</v>
      </c>
      <c r="E107" s="3">
        <f t="shared" si="10"/>
        <v>40</v>
      </c>
      <c r="F107" s="1">
        <v>0.03</v>
      </c>
      <c r="G107">
        <v>0</v>
      </c>
      <c r="H107" t="s">
        <v>168</v>
      </c>
      <c r="I107" t="str">
        <f t="shared" si="11"/>
        <v>Excellent</v>
      </c>
      <c r="J107" t="str">
        <f t="shared" si="9"/>
        <v>Low Dsicount</v>
      </c>
    </row>
    <row r="108" spans="1:10" x14ac:dyDescent="0.35">
      <c r="A108">
        <v>107</v>
      </c>
      <c r="B108" t="s">
        <v>45</v>
      </c>
      <c r="C108" s="3">
        <v>2132</v>
      </c>
      <c r="D108" s="3">
        <v>2169</v>
      </c>
      <c r="E108" s="3">
        <f t="shared" si="10"/>
        <v>37</v>
      </c>
      <c r="F108" s="1">
        <v>0.02</v>
      </c>
      <c r="G108">
        <v>0</v>
      </c>
      <c r="H108" t="s">
        <v>168</v>
      </c>
      <c r="I108" t="str">
        <f t="shared" si="11"/>
        <v>Excellent</v>
      </c>
      <c r="J108" t="str">
        <f t="shared" si="9"/>
        <v>Low Dsicount</v>
      </c>
    </row>
    <row r="109" spans="1:10" x14ac:dyDescent="0.35">
      <c r="A109">
        <v>108</v>
      </c>
      <c r="B109" t="s">
        <v>52</v>
      </c>
      <c r="C109" s="3">
        <v>1660</v>
      </c>
      <c r="D109" s="3">
        <v>1699</v>
      </c>
      <c r="E109" s="3">
        <f t="shared" si="10"/>
        <v>39</v>
      </c>
      <c r="F109" s="1">
        <v>0.02</v>
      </c>
      <c r="G109">
        <v>0</v>
      </c>
      <c r="H109" t="s">
        <v>168</v>
      </c>
      <c r="I109" t="str">
        <f t="shared" si="11"/>
        <v>Excellent</v>
      </c>
      <c r="J109" t="str">
        <f t="shared" si="9"/>
        <v>Low Dsicount</v>
      </c>
    </row>
    <row r="110" spans="1:10" x14ac:dyDescent="0.35">
      <c r="A110">
        <v>109</v>
      </c>
      <c r="B110" t="s">
        <v>82</v>
      </c>
      <c r="C110" s="3">
        <v>1666</v>
      </c>
      <c r="D110" s="3">
        <v>1699</v>
      </c>
      <c r="E110" s="3">
        <f t="shared" si="10"/>
        <v>33</v>
      </c>
      <c r="F110" s="1">
        <v>0.02</v>
      </c>
      <c r="G110">
        <v>0</v>
      </c>
      <c r="H110" t="s">
        <v>168</v>
      </c>
      <c r="I110" t="str">
        <f t="shared" si="11"/>
        <v>Excellent</v>
      </c>
      <c r="J110" t="str">
        <f t="shared" si="9"/>
        <v>Low Dsicount</v>
      </c>
    </row>
    <row r="111" spans="1:10" x14ac:dyDescent="0.35">
      <c r="A111">
        <v>110</v>
      </c>
      <c r="B111" t="s">
        <v>95</v>
      </c>
      <c r="C111" s="3">
        <v>1462</v>
      </c>
      <c r="D111" s="3">
        <v>1499</v>
      </c>
      <c r="E111" s="3">
        <f t="shared" si="10"/>
        <v>37</v>
      </c>
      <c r="F111" s="1">
        <v>0.02</v>
      </c>
      <c r="G111">
        <v>0</v>
      </c>
      <c r="H111" t="s">
        <v>168</v>
      </c>
      <c r="I111" t="str">
        <f t="shared" si="11"/>
        <v>Excellent</v>
      </c>
      <c r="J111" t="str">
        <f t="shared" si="9"/>
        <v>Low Dsicount</v>
      </c>
    </row>
    <row r="112" spans="1:10" x14ac:dyDescent="0.35">
      <c r="A112">
        <v>111</v>
      </c>
      <c r="B112" t="s">
        <v>106</v>
      </c>
      <c r="C112" s="3">
        <v>1658</v>
      </c>
      <c r="D112" s="3">
        <v>1699</v>
      </c>
      <c r="E112" s="3">
        <f t="shared" si="10"/>
        <v>41</v>
      </c>
      <c r="F112" s="1">
        <v>0.02</v>
      </c>
      <c r="G112">
        <v>0</v>
      </c>
      <c r="H112" t="s">
        <v>168</v>
      </c>
      <c r="I112" t="str">
        <f t="shared" si="11"/>
        <v>Excellent</v>
      </c>
      <c r="J112" t="str">
        <f t="shared" si="9"/>
        <v>Low Dsicount</v>
      </c>
    </row>
    <row r="113" spans="1:10" x14ac:dyDescent="0.35">
      <c r="A113">
        <v>112</v>
      </c>
      <c r="B113" t="s">
        <v>107</v>
      </c>
      <c r="C113" s="3">
        <v>1768</v>
      </c>
      <c r="D113" s="3">
        <v>1799</v>
      </c>
      <c r="E113" s="3">
        <f t="shared" si="10"/>
        <v>31</v>
      </c>
      <c r="F113" s="1">
        <v>0.02</v>
      </c>
      <c r="G113">
        <v>0</v>
      </c>
      <c r="H113" t="s">
        <v>168</v>
      </c>
      <c r="I113" t="str">
        <f t="shared" si="11"/>
        <v>Excellent</v>
      </c>
      <c r="J113" t="str">
        <f t="shared" si="9"/>
        <v>Low Dsicount</v>
      </c>
    </row>
    <row r="114" spans="1:10" x14ac:dyDescent="0.35">
      <c r="A114">
        <v>113</v>
      </c>
      <c r="B114" t="s">
        <v>102</v>
      </c>
      <c r="C114" s="3">
        <v>1875</v>
      </c>
      <c r="D114" s="3">
        <v>1899</v>
      </c>
      <c r="E114" s="3">
        <f t="shared" si="10"/>
        <v>24</v>
      </c>
      <c r="F114" s="1">
        <v>0.01</v>
      </c>
      <c r="G114">
        <v>0</v>
      </c>
      <c r="H114" t="s">
        <v>168</v>
      </c>
      <c r="I114" t="str">
        <f t="shared" si="11"/>
        <v>Excellent</v>
      </c>
      <c r="J114" t="str">
        <f t="shared" si="9"/>
        <v>Low Dsicount</v>
      </c>
    </row>
  </sheetData>
  <autoFilter ref="A1:O114" xr:uid="{00000000-0001-0000-0000-000000000000}"/>
  <sortState xmlns:xlrd2="http://schemas.microsoft.com/office/spreadsheetml/2017/richdata2" ref="B2:J115">
    <sortCondition descending="1" ref="H1:H115"/>
  </sortState>
  <conditionalFormatting sqref="B1:B1048576">
    <cfRule type="duplicateValues" dxfId="32" priority="1"/>
  </conditionalFormatting>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EBDE-9516-4B4B-9E4C-95CAAF4FA547}">
  <dimension ref="A3:C29"/>
  <sheetViews>
    <sheetView zoomScale="63" zoomScaleNormal="63" workbookViewId="0">
      <selection activeCell="H19" sqref="H19"/>
    </sheetView>
  </sheetViews>
  <sheetFormatPr defaultRowHeight="14.5" x14ac:dyDescent="0.35"/>
  <cols>
    <col min="1" max="1" width="14.08984375" bestFit="1" customWidth="1"/>
    <col min="2" max="2" width="28.6328125" bestFit="1" customWidth="1"/>
    <col min="3" max="3" width="16.7265625" bestFit="1" customWidth="1"/>
    <col min="4" max="4" width="25.36328125" bestFit="1" customWidth="1"/>
  </cols>
  <sheetData>
    <row r="3" spans="1:3" x14ac:dyDescent="0.35">
      <c r="A3" s="8" t="s">
        <v>125</v>
      </c>
      <c r="B3" t="s">
        <v>130</v>
      </c>
      <c r="C3" t="s">
        <v>163</v>
      </c>
    </row>
    <row r="4" spans="1:3" x14ac:dyDescent="0.35">
      <c r="A4" s="9" t="s">
        <v>126</v>
      </c>
      <c r="B4" s="6">
        <v>1.7999999999999994</v>
      </c>
      <c r="C4" s="19">
        <v>0.48206349206349181</v>
      </c>
    </row>
    <row r="5" spans="1:3" x14ac:dyDescent="0.35">
      <c r="A5" s="9" t="s">
        <v>127</v>
      </c>
      <c r="B5" s="6">
        <v>0.82777777777777772</v>
      </c>
      <c r="C5" s="19">
        <v>7.2222222222222243E-2</v>
      </c>
    </row>
    <row r="6" spans="1:3" x14ac:dyDescent="0.35">
      <c r="A6" s="9" t="s">
        <v>128</v>
      </c>
      <c r="B6" s="6">
        <v>3.0593750000000006</v>
      </c>
      <c r="C6" s="19">
        <v>0.30937499999999996</v>
      </c>
    </row>
    <row r="7" spans="1:3" x14ac:dyDescent="0.35">
      <c r="A7" s="9" t="s">
        <v>129</v>
      </c>
      <c r="B7" s="6">
        <v>2.0017699115044238</v>
      </c>
      <c r="C7" s="19">
        <v>0.36787610619469036</v>
      </c>
    </row>
    <row r="16" spans="1:3" x14ac:dyDescent="0.35">
      <c r="B16" s="8" t="s">
        <v>125</v>
      </c>
      <c r="C16" t="s">
        <v>134</v>
      </c>
    </row>
    <row r="17" spans="1:3" x14ac:dyDescent="0.35">
      <c r="B17" s="9" t="s">
        <v>131</v>
      </c>
      <c r="C17" s="4">
        <v>22</v>
      </c>
    </row>
    <row r="18" spans="1:3" x14ac:dyDescent="0.35">
      <c r="B18" s="9" t="s">
        <v>132</v>
      </c>
      <c r="C18" s="4">
        <v>24</v>
      </c>
    </row>
    <row r="19" spans="1:3" x14ac:dyDescent="0.35">
      <c r="B19" s="9" t="s">
        <v>133</v>
      </c>
      <c r="C19" s="4">
        <v>67</v>
      </c>
    </row>
    <row r="20" spans="1:3" x14ac:dyDescent="0.35">
      <c r="B20" s="9" t="s">
        <v>129</v>
      </c>
      <c r="C20" s="4">
        <v>113</v>
      </c>
    </row>
    <row r="25" spans="1:3" x14ac:dyDescent="0.35">
      <c r="A25" s="8" t="s">
        <v>125</v>
      </c>
      <c r="B25" t="s">
        <v>163</v>
      </c>
      <c r="C25" t="s">
        <v>164</v>
      </c>
    </row>
    <row r="26" spans="1:3" x14ac:dyDescent="0.35">
      <c r="A26" s="9" t="s">
        <v>131</v>
      </c>
      <c r="B26" s="19">
        <v>0.38045454545454549</v>
      </c>
      <c r="C26" s="19">
        <v>10.136363636363637</v>
      </c>
    </row>
    <row r="27" spans="1:3" x14ac:dyDescent="0.35">
      <c r="A27" s="9" t="s">
        <v>132</v>
      </c>
      <c r="B27" s="19">
        <v>0.37666666666666671</v>
      </c>
      <c r="C27" s="19">
        <v>13.875</v>
      </c>
    </row>
    <row r="28" spans="1:3" x14ac:dyDescent="0.35">
      <c r="A28" s="9" t="s">
        <v>133</v>
      </c>
      <c r="B28" s="19">
        <v>0.3605970149253731</v>
      </c>
      <c r="C28" s="19">
        <v>2.5223880597014925</v>
      </c>
    </row>
    <row r="29" spans="1:3" x14ac:dyDescent="0.35">
      <c r="A29" s="9" t="s">
        <v>129</v>
      </c>
      <c r="B29" s="19">
        <v>0.36787610619469024</v>
      </c>
      <c r="C29" s="19">
        <v>6.4159292035398234</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FA6E7-44AB-48F8-8D3B-F35E33143E31}">
  <dimension ref="A1:O45"/>
  <sheetViews>
    <sheetView topLeftCell="B1" zoomScale="70" zoomScaleNormal="70" workbookViewId="0">
      <selection activeCell="M18" sqref="M18"/>
    </sheetView>
  </sheetViews>
  <sheetFormatPr defaultRowHeight="14.5" x14ac:dyDescent="0.35"/>
  <cols>
    <col min="1" max="1" width="68.1796875" customWidth="1"/>
    <col min="2" max="3" width="10.26953125" customWidth="1"/>
    <col min="4" max="4" width="15.54296875" bestFit="1" customWidth="1"/>
    <col min="5" max="5" width="11.54296875" customWidth="1"/>
    <col min="6" max="7" width="10.26953125" customWidth="1"/>
    <col min="8" max="8" width="11.6328125" customWidth="1"/>
    <col min="9" max="9" width="16.1796875" bestFit="1" customWidth="1"/>
    <col min="13" max="13" width="15.6328125" bestFit="1" customWidth="1"/>
    <col min="14" max="14" width="12.54296875" bestFit="1" customWidth="1"/>
    <col min="15" max="15" width="12.453125" bestFit="1" customWidth="1"/>
  </cols>
  <sheetData>
    <row r="1" spans="1:15" x14ac:dyDescent="0.35">
      <c r="A1" s="11" t="s">
        <v>135</v>
      </c>
      <c r="B1" s="11" t="s">
        <v>139</v>
      </c>
      <c r="C1" s="11" t="s">
        <v>140</v>
      </c>
      <c r="D1" s="11" t="s">
        <v>141</v>
      </c>
      <c r="E1" s="11" t="s">
        <v>142</v>
      </c>
      <c r="F1" s="11" t="s">
        <v>143</v>
      </c>
      <c r="G1" s="11" t="s">
        <v>144</v>
      </c>
      <c r="H1" s="11" t="s">
        <v>145</v>
      </c>
      <c r="I1" s="11" t="s">
        <v>146</v>
      </c>
    </row>
    <row r="2" spans="1:15" s="2" customFormat="1" x14ac:dyDescent="0.35">
      <c r="A2" s="2" t="s">
        <v>0</v>
      </c>
      <c r="B2" s="2" t="s">
        <v>1</v>
      </c>
      <c r="C2" s="2" t="s">
        <v>112</v>
      </c>
      <c r="D2" s="2" t="s">
        <v>113</v>
      </c>
      <c r="E2" s="5" t="s">
        <v>124</v>
      </c>
      <c r="F2" s="2" t="s">
        <v>2</v>
      </c>
      <c r="G2" s="2" t="s">
        <v>111</v>
      </c>
      <c r="H2" s="2" t="s">
        <v>116</v>
      </c>
      <c r="I2" s="2" t="s">
        <v>123</v>
      </c>
    </row>
    <row r="3" spans="1:15" x14ac:dyDescent="0.35">
      <c r="A3" t="s">
        <v>108</v>
      </c>
      <c r="B3">
        <v>199</v>
      </c>
      <c r="C3">
        <v>553</v>
      </c>
      <c r="D3" s="3">
        <f t="shared" ref="D3:D12" si="0">C3-B3</f>
        <v>354</v>
      </c>
      <c r="E3" s="1">
        <v>0.64</v>
      </c>
      <c r="F3">
        <v>0</v>
      </c>
      <c r="G3">
        <v>0</v>
      </c>
      <c r="H3" t="str">
        <f t="shared" ref="H3:H12" si="1">IF(G3&gt;=4.5,"Excellent",IF(G3&gt;=3,"Average","Poor"))</f>
        <v>Poor</v>
      </c>
      <c r="I3" t="str">
        <f t="shared" ref="I3:I12" si="2">IF(E3&gt;=40%,"High Discount",IF(E3&gt;=20%,"Medium Discount","Low Dsicount"))</f>
        <v>High Discount</v>
      </c>
    </row>
    <row r="4" spans="1:15" x14ac:dyDescent="0.35">
      <c r="A4" t="s">
        <v>50</v>
      </c>
      <c r="B4">
        <v>199</v>
      </c>
      <c r="C4">
        <v>504</v>
      </c>
      <c r="D4" s="3">
        <f t="shared" si="0"/>
        <v>305</v>
      </c>
      <c r="E4" s="1">
        <v>0.61</v>
      </c>
      <c r="F4">
        <v>0</v>
      </c>
      <c r="G4">
        <v>0</v>
      </c>
      <c r="H4" t="str">
        <f t="shared" si="1"/>
        <v>Poor</v>
      </c>
      <c r="I4" t="str">
        <f t="shared" si="2"/>
        <v>High Discount</v>
      </c>
    </row>
    <row r="5" spans="1:15" x14ac:dyDescent="0.35">
      <c r="A5" t="s">
        <v>11</v>
      </c>
      <c r="B5" s="3">
        <v>1274</v>
      </c>
      <c r="C5" s="3">
        <v>2800</v>
      </c>
      <c r="D5" s="3">
        <f t="shared" si="0"/>
        <v>1526</v>
      </c>
      <c r="E5" s="1">
        <v>0.55000000000000004</v>
      </c>
      <c r="F5">
        <v>5</v>
      </c>
      <c r="G5">
        <v>4.8</v>
      </c>
      <c r="H5" t="str">
        <f t="shared" si="1"/>
        <v>Excellent</v>
      </c>
      <c r="I5" t="str">
        <f t="shared" si="2"/>
        <v>High Discount</v>
      </c>
    </row>
    <row r="6" spans="1:15" x14ac:dyDescent="0.35">
      <c r="A6" t="s">
        <v>56</v>
      </c>
      <c r="B6">
        <v>399</v>
      </c>
      <c r="C6">
        <v>896</v>
      </c>
      <c r="D6" s="3">
        <f t="shared" si="0"/>
        <v>497</v>
      </c>
      <c r="E6" s="1">
        <v>0.55000000000000004</v>
      </c>
      <c r="F6">
        <v>0</v>
      </c>
      <c r="G6">
        <v>0</v>
      </c>
      <c r="H6" t="str">
        <f t="shared" si="1"/>
        <v>Poor</v>
      </c>
      <c r="I6" t="str">
        <f t="shared" si="2"/>
        <v>High Discount</v>
      </c>
    </row>
    <row r="7" spans="1:15" x14ac:dyDescent="0.35">
      <c r="A7" t="s">
        <v>62</v>
      </c>
      <c r="B7" s="3">
        <v>2115</v>
      </c>
      <c r="C7" s="3">
        <v>4700</v>
      </c>
      <c r="D7" s="3">
        <f t="shared" si="0"/>
        <v>2585</v>
      </c>
      <c r="E7" s="1">
        <v>0.55000000000000004</v>
      </c>
      <c r="F7">
        <v>13</v>
      </c>
      <c r="G7">
        <v>2.1</v>
      </c>
      <c r="H7" t="str">
        <f t="shared" si="1"/>
        <v>Poor</v>
      </c>
      <c r="I7" t="str">
        <f t="shared" si="2"/>
        <v>High Discount</v>
      </c>
      <c r="M7" s="8" t="s">
        <v>125</v>
      </c>
      <c r="N7" t="s">
        <v>148</v>
      </c>
      <c r="O7" t="s">
        <v>149</v>
      </c>
    </row>
    <row r="8" spans="1:15" x14ac:dyDescent="0.35">
      <c r="A8" t="s">
        <v>27</v>
      </c>
      <c r="B8" s="3">
        <v>2048</v>
      </c>
      <c r="C8" s="3">
        <v>4500</v>
      </c>
      <c r="D8" s="3">
        <f t="shared" si="0"/>
        <v>2452</v>
      </c>
      <c r="E8" s="1">
        <v>0.54</v>
      </c>
      <c r="F8">
        <v>7</v>
      </c>
      <c r="G8">
        <v>4.3</v>
      </c>
      <c r="H8" t="str">
        <f t="shared" si="1"/>
        <v>Average</v>
      </c>
      <c r="I8" t="str">
        <f t="shared" si="2"/>
        <v>High Discount</v>
      </c>
      <c r="M8" s="9" t="s">
        <v>126</v>
      </c>
      <c r="N8" s="6">
        <v>1.7999999999999994</v>
      </c>
      <c r="O8" s="6">
        <v>5.3174603174603172</v>
      </c>
    </row>
    <row r="9" spans="1:15" x14ac:dyDescent="0.35">
      <c r="A9" t="s">
        <v>61</v>
      </c>
      <c r="B9">
        <v>458</v>
      </c>
      <c r="C9">
        <v>986</v>
      </c>
      <c r="D9" s="3">
        <f t="shared" si="0"/>
        <v>528</v>
      </c>
      <c r="E9" s="1">
        <v>0.54</v>
      </c>
      <c r="F9">
        <v>10</v>
      </c>
      <c r="G9">
        <v>3</v>
      </c>
      <c r="H9" t="str">
        <f t="shared" si="1"/>
        <v>Average</v>
      </c>
      <c r="I9" t="str">
        <f t="shared" si="2"/>
        <v>High Discount</v>
      </c>
      <c r="M9" s="9" t="s">
        <v>127</v>
      </c>
      <c r="N9" s="6">
        <v>0.82777777777777772</v>
      </c>
      <c r="O9" s="6">
        <v>2.1111111111111112</v>
      </c>
    </row>
    <row r="10" spans="1:15" x14ac:dyDescent="0.35">
      <c r="A10" t="s">
        <v>23</v>
      </c>
      <c r="B10">
        <v>38</v>
      </c>
      <c r="C10">
        <v>80</v>
      </c>
      <c r="D10" s="3">
        <f t="shared" si="0"/>
        <v>42</v>
      </c>
      <c r="E10" s="1">
        <v>0.53</v>
      </c>
      <c r="F10">
        <v>13</v>
      </c>
      <c r="G10">
        <v>3.3</v>
      </c>
      <c r="H10" t="str">
        <f t="shared" si="1"/>
        <v>Average</v>
      </c>
      <c r="I10" t="str">
        <f t="shared" si="2"/>
        <v>High Discount</v>
      </c>
      <c r="M10" s="9" t="s">
        <v>128</v>
      </c>
      <c r="N10" s="6">
        <v>3.0593750000000006</v>
      </c>
      <c r="O10" s="6">
        <v>11</v>
      </c>
    </row>
    <row r="11" spans="1:15" x14ac:dyDescent="0.35">
      <c r="A11" t="s">
        <v>39</v>
      </c>
      <c r="B11">
        <v>171</v>
      </c>
      <c r="C11">
        <v>360</v>
      </c>
      <c r="D11" s="3">
        <f t="shared" si="0"/>
        <v>189</v>
      </c>
      <c r="E11" s="1">
        <v>0.53</v>
      </c>
      <c r="F11">
        <v>2</v>
      </c>
      <c r="G11">
        <v>5</v>
      </c>
      <c r="H11" t="str">
        <f t="shared" si="1"/>
        <v>Excellent</v>
      </c>
      <c r="I11" t="str">
        <f t="shared" si="2"/>
        <v>High Discount</v>
      </c>
      <c r="M11" s="9" t="s">
        <v>129</v>
      </c>
      <c r="N11" s="6">
        <v>2.0017699115044238</v>
      </c>
      <c r="O11" s="6">
        <v>6.4159292035398234</v>
      </c>
    </row>
    <row r="12" spans="1:15" x14ac:dyDescent="0.35">
      <c r="A12" t="s">
        <v>33</v>
      </c>
      <c r="B12">
        <v>185</v>
      </c>
      <c r="C12">
        <v>382</v>
      </c>
      <c r="D12" s="3">
        <f t="shared" si="0"/>
        <v>197</v>
      </c>
      <c r="E12" s="1">
        <v>0.52</v>
      </c>
      <c r="F12">
        <v>9</v>
      </c>
      <c r="G12">
        <v>4.3</v>
      </c>
      <c r="H12" t="str">
        <f t="shared" si="1"/>
        <v>Average</v>
      </c>
      <c r="I12" t="str">
        <f t="shared" si="2"/>
        <v>High Discount</v>
      </c>
    </row>
    <row r="13" spans="1:15" x14ac:dyDescent="0.35">
      <c r="D13" s="3"/>
      <c r="E13" s="1"/>
    </row>
    <row r="15" spans="1:15" x14ac:dyDescent="0.35">
      <c r="A15" s="11" t="s">
        <v>136</v>
      </c>
      <c r="B15" s="10" t="s">
        <v>139</v>
      </c>
      <c r="C15" s="10" t="s">
        <v>140</v>
      </c>
      <c r="D15" s="10" t="s">
        <v>141</v>
      </c>
      <c r="E15" s="10" t="s">
        <v>142</v>
      </c>
      <c r="F15" s="10" t="s">
        <v>143</v>
      </c>
      <c r="G15" s="10" t="s">
        <v>144</v>
      </c>
      <c r="H15" s="10" t="s">
        <v>145</v>
      </c>
      <c r="I15" s="10" t="s">
        <v>146</v>
      </c>
    </row>
    <row r="16" spans="1:15" s="2" customFormat="1" x14ac:dyDescent="0.35">
      <c r="A16" s="2" t="s">
        <v>0</v>
      </c>
      <c r="B16" s="2" t="s">
        <v>1</v>
      </c>
      <c r="C16" s="2" t="s">
        <v>112</v>
      </c>
      <c r="D16" s="2" t="s">
        <v>113</v>
      </c>
      <c r="E16" s="5" t="s">
        <v>124</v>
      </c>
      <c r="F16" s="2" t="s">
        <v>2</v>
      </c>
      <c r="G16" s="2" t="s">
        <v>111</v>
      </c>
      <c r="H16" s="2" t="s">
        <v>116</v>
      </c>
      <c r="I16" s="2" t="s">
        <v>123</v>
      </c>
      <c r="M16"/>
      <c r="N16"/>
      <c r="O16"/>
    </row>
    <row r="17" spans="1:9" x14ac:dyDescent="0.35">
      <c r="A17" t="s">
        <v>63</v>
      </c>
      <c r="B17">
        <v>445</v>
      </c>
      <c r="C17">
        <v>873</v>
      </c>
      <c r="D17" s="3">
        <f t="shared" ref="D17:D26" si="3">C17-B17</f>
        <v>428</v>
      </c>
      <c r="E17" s="1">
        <v>0.49</v>
      </c>
      <c r="F17">
        <v>69</v>
      </c>
      <c r="G17">
        <v>2.8</v>
      </c>
      <c r="H17" t="str">
        <f t="shared" ref="H17:H26" si="4">IF(G17&gt;=4.5,"Excellent",IF(G17&gt;=3,"Average","Poor"))</f>
        <v>Poor</v>
      </c>
      <c r="I17" t="str">
        <f t="shared" ref="I17:I26" si="5">IF(E17&gt;=40%,"High Discount",IF(E17&gt;=20%,"Medium Discount","Low Dsicount"))</f>
        <v>High Discount</v>
      </c>
    </row>
    <row r="18" spans="1:9" x14ac:dyDescent="0.35">
      <c r="A18" t="s">
        <v>9</v>
      </c>
      <c r="B18" s="3">
        <v>2319</v>
      </c>
      <c r="C18" s="3">
        <v>3032</v>
      </c>
      <c r="D18" s="3">
        <f t="shared" si="3"/>
        <v>713</v>
      </c>
      <c r="E18" s="1">
        <v>0.24</v>
      </c>
      <c r="F18">
        <v>55</v>
      </c>
      <c r="G18">
        <v>4.5999999999999996</v>
      </c>
      <c r="H18" t="str">
        <f t="shared" si="4"/>
        <v>Excellent</v>
      </c>
      <c r="I18" t="str">
        <f t="shared" si="5"/>
        <v>Medium Discount</v>
      </c>
    </row>
    <row r="19" spans="1:9" x14ac:dyDescent="0.35">
      <c r="A19" t="s">
        <v>28</v>
      </c>
      <c r="B19">
        <v>420</v>
      </c>
      <c r="C19">
        <v>647</v>
      </c>
      <c r="D19" s="3">
        <f t="shared" si="3"/>
        <v>227</v>
      </c>
      <c r="E19" s="1">
        <v>0.35</v>
      </c>
      <c r="F19">
        <v>49</v>
      </c>
      <c r="G19">
        <v>4.5999999999999996</v>
      </c>
      <c r="H19" t="str">
        <f t="shared" si="4"/>
        <v>Excellent</v>
      </c>
      <c r="I19" t="str">
        <f t="shared" si="5"/>
        <v>Medium Discount</v>
      </c>
    </row>
    <row r="20" spans="1:9" x14ac:dyDescent="0.35">
      <c r="A20" t="s">
        <v>22</v>
      </c>
      <c r="B20">
        <v>998</v>
      </c>
      <c r="C20" s="3">
        <v>1966</v>
      </c>
      <c r="D20" s="3">
        <f t="shared" si="3"/>
        <v>968</v>
      </c>
      <c r="E20" s="1">
        <v>0.49</v>
      </c>
      <c r="F20">
        <v>44</v>
      </c>
      <c r="G20">
        <v>4.5999999999999996</v>
      </c>
      <c r="H20" t="str">
        <f t="shared" si="4"/>
        <v>Excellent</v>
      </c>
      <c r="I20" t="str">
        <f t="shared" si="5"/>
        <v>High Discount</v>
      </c>
    </row>
    <row r="21" spans="1:9" x14ac:dyDescent="0.35">
      <c r="A21" t="s">
        <v>14</v>
      </c>
      <c r="B21">
        <v>990</v>
      </c>
      <c r="C21" s="3">
        <v>1500</v>
      </c>
      <c r="D21" s="3">
        <f t="shared" si="3"/>
        <v>510</v>
      </c>
      <c r="E21" s="1">
        <v>0.34</v>
      </c>
      <c r="F21">
        <v>39</v>
      </c>
      <c r="G21">
        <v>4.7</v>
      </c>
      <c r="H21" t="str">
        <f t="shared" si="4"/>
        <v>Excellent</v>
      </c>
      <c r="I21" t="str">
        <f t="shared" si="5"/>
        <v>Medium Discount</v>
      </c>
    </row>
    <row r="22" spans="1:9" x14ac:dyDescent="0.35">
      <c r="A22" t="s">
        <v>40</v>
      </c>
      <c r="B22">
        <v>389</v>
      </c>
      <c r="C22">
        <v>656</v>
      </c>
      <c r="D22" s="3">
        <f t="shared" si="3"/>
        <v>267</v>
      </c>
      <c r="E22" s="1">
        <v>0.41</v>
      </c>
      <c r="F22">
        <v>36</v>
      </c>
      <c r="G22">
        <v>4.3</v>
      </c>
      <c r="H22" t="str">
        <f t="shared" si="4"/>
        <v>Average</v>
      </c>
      <c r="I22" t="str">
        <f t="shared" si="5"/>
        <v>High Discount</v>
      </c>
    </row>
    <row r="23" spans="1:9" x14ac:dyDescent="0.35">
      <c r="A23" t="s">
        <v>37</v>
      </c>
      <c r="B23" s="3">
        <v>1980</v>
      </c>
      <c r="C23" s="3">
        <v>2699</v>
      </c>
      <c r="D23" s="3">
        <f t="shared" si="3"/>
        <v>719</v>
      </c>
      <c r="E23" s="1">
        <v>0.27</v>
      </c>
      <c r="F23">
        <v>32</v>
      </c>
      <c r="G23">
        <v>4.5</v>
      </c>
      <c r="H23" t="str">
        <f t="shared" si="4"/>
        <v>Excellent</v>
      </c>
      <c r="I23" t="str">
        <f t="shared" si="5"/>
        <v>Medium Discount</v>
      </c>
    </row>
    <row r="24" spans="1:9" x14ac:dyDescent="0.35">
      <c r="A24" t="s">
        <v>5</v>
      </c>
      <c r="B24" s="3">
        <v>2199</v>
      </c>
      <c r="C24" s="3">
        <v>2923</v>
      </c>
      <c r="D24" s="3">
        <f t="shared" si="3"/>
        <v>724</v>
      </c>
      <c r="E24" s="1">
        <v>0.25</v>
      </c>
      <c r="F24">
        <v>24</v>
      </c>
      <c r="G24">
        <v>4.5999999999999996</v>
      </c>
      <c r="H24" t="str">
        <f t="shared" si="4"/>
        <v>Excellent</v>
      </c>
      <c r="I24" t="str">
        <f t="shared" si="5"/>
        <v>Medium Discount</v>
      </c>
    </row>
    <row r="25" spans="1:9" x14ac:dyDescent="0.35">
      <c r="A25" t="s">
        <v>31</v>
      </c>
      <c r="B25" s="3">
        <v>1758</v>
      </c>
      <c r="C25" s="3">
        <v>2499</v>
      </c>
      <c r="D25" s="3">
        <f t="shared" si="3"/>
        <v>741</v>
      </c>
      <c r="E25" s="1">
        <v>0.3</v>
      </c>
      <c r="F25">
        <v>20</v>
      </c>
      <c r="G25">
        <v>4.0999999999999996</v>
      </c>
      <c r="H25" t="str">
        <f t="shared" si="4"/>
        <v>Average</v>
      </c>
      <c r="I25" t="str">
        <f t="shared" si="5"/>
        <v>Medium Discount</v>
      </c>
    </row>
    <row r="26" spans="1:9" x14ac:dyDescent="0.35">
      <c r="A26" t="s">
        <v>36</v>
      </c>
      <c r="B26" s="3">
        <v>1940</v>
      </c>
      <c r="C26" s="3">
        <v>2650</v>
      </c>
      <c r="D26" s="3">
        <f t="shared" si="3"/>
        <v>710</v>
      </c>
      <c r="E26" s="1">
        <v>0.27</v>
      </c>
      <c r="F26">
        <v>20</v>
      </c>
      <c r="G26">
        <v>4.7</v>
      </c>
      <c r="H26" t="str">
        <f t="shared" si="4"/>
        <v>Excellent</v>
      </c>
      <c r="I26" t="str">
        <f t="shared" si="5"/>
        <v>Medium Discount</v>
      </c>
    </row>
    <row r="27" spans="1:9" x14ac:dyDescent="0.35">
      <c r="B27" s="3"/>
      <c r="C27" s="3"/>
      <c r="D27" s="3"/>
      <c r="E27" s="1"/>
    </row>
    <row r="28" spans="1:9" x14ac:dyDescent="0.35">
      <c r="B28" s="3"/>
      <c r="C28" s="3"/>
      <c r="D28" s="3"/>
      <c r="E28" s="1"/>
    </row>
    <row r="29" spans="1:9" x14ac:dyDescent="0.35">
      <c r="A29" s="11" t="s">
        <v>138</v>
      </c>
      <c r="B29" s="10" t="s">
        <v>139</v>
      </c>
      <c r="C29" s="10" t="s">
        <v>140</v>
      </c>
      <c r="D29" s="10" t="s">
        <v>141</v>
      </c>
      <c r="E29" s="10" t="s">
        <v>142</v>
      </c>
      <c r="F29" s="10" t="s">
        <v>143</v>
      </c>
      <c r="G29" s="10" t="s">
        <v>144</v>
      </c>
      <c r="H29" s="10" t="s">
        <v>145</v>
      </c>
      <c r="I29" s="10" t="s">
        <v>146</v>
      </c>
    </row>
    <row r="30" spans="1:9" x14ac:dyDescent="0.35">
      <c r="A30" s="2" t="s">
        <v>0</v>
      </c>
      <c r="B30" s="2" t="s">
        <v>1</v>
      </c>
      <c r="C30" s="2" t="s">
        <v>112</v>
      </c>
      <c r="D30" s="2" t="s">
        <v>113</v>
      </c>
      <c r="E30" s="5" t="s">
        <v>124</v>
      </c>
      <c r="F30" s="2" t="s">
        <v>2</v>
      </c>
      <c r="G30" s="2" t="s">
        <v>111</v>
      </c>
      <c r="H30" s="2" t="s">
        <v>116</v>
      </c>
      <c r="I30" s="2" t="s">
        <v>123</v>
      </c>
    </row>
    <row r="31" spans="1:9" x14ac:dyDescent="0.35">
      <c r="A31" t="s">
        <v>20</v>
      </c>
      <c r="B31" s="3">
        <v>2025</v>
      </c>
      <c r="C31" s="3">
        <v>3971</v>
      </c>
      <c r="D31" s="3">
        <f>C31-B31</f>
        <v>1946</v>
      </c>
      <c r="E31" s="1">
        <v>0.49</v>
      </c>
      <c r="F31">
        <v>3</v>
      </c>
      <c r="G31">
        <v>5</v>
      </c>
      <c r="H31" t="str">
        <f>IF(G31&gt;=4.5,"Excellent",IF(G31&gt;=3,"Average","Poor"))</f>
        <v>Excellent</v>
      </c>
      <c r="I31" t="str">
        <f>IF(E31&gt;=40%,"High Discount",IF(E31&gt;=20%,"Medium Discount","Low Dsicount"))</f>
        <v>High Discount</v>
      </c>
    </row>
    <row r="32" spans="1:9" x14ac:dyDescent="0.35">
      <c r="A32" t="s">
        <v>39</v>
      </c>
      <c r="B32">
        <v>171</v>
      </c>
      <c r="C32">
        <v>360</v>
      </c>
      <c r="D32" s="3">
        <f>C32-B32</f>
        <v>189</v>
      </c>
      <c r="E32" s="1">
        <v>0.53</v>
      </c>
      <c r="F32">
        <v>2</v>
      </c>
      <c r="G32">
        <v>5</v>
      </c>
      <c r="H32" t="str">
        <f>IF(G32&gt;=4.5,"Excellent",IF(G32&gt;=3,"Average","Poor"))</f>
        <v>Excellent</v>
      </c>
      <c r="I32" t="str">
        <f>IF(E32&gt;=40%,"High Discount",IF(E32&gt;=20%,"Medium Discount","Low Dsicount"))</f>
        <v>High Discount</v>
      </c>
    </row>
    <row r="33" spans="1:9" x14ac:dyDescent="0.35">
      <c r="A33" t="s">
        <v>18</v>
      </c>
      <c r="B33">
        <v>332</v>
      </c>
      <c r="C33">
        <v>684</v>
      </c>
      <c r="D33" s="3">
        <f>C33-B33</f>
        <v>352</v>
      </c>
      <c r="E33" s="1">
        <v>0.51</v>
      </c>
      <c r="F33">
        <v>2</v>
      </c>
      <c r="G33">
        <v>5</v>
      </c>
      <c r="H33" t="str">
        <f>IF(G33&gt;=4.5,"Excellent",IF(G33&gt;=3,"Average","Poor"))</f>
        <v>Excellent</v>
      </c>
      <c r="I33" t="str">
        <f>IF(E33&gt;=40%,"High Discount",IF(E33&gt;=20%,"Medium Discount","Low Dsicount"))</f>
        <v>High Discount</v>
      </c>
    </row>
    <row r="34" spans="1:9" x14ac:dyDescent="0.35">
      <c r="A34" t="s">
        <v>19</v>
      </c>
      <c r="B34">
        <v>195</v>
      </c>
      <c r="C34">
        <v>360</v>
      </c>
      <c r="D34" s="3">
        <f>C34-B34</f>
        <v>165</v>
      </c>
      <c r="E34" s="1">
        <v>0.46</v>
      </c>
      <c r="F34">
        <v>2</v>
      </c>
      <c r="G34">
        <v>5</v>
      </c>
      <c r="H34" t="str">
        <f>IF(G34&gt;=4.5,"Excellent",IF(G34&gt;=3,"Average","Poor"))</f>
        <v>Excellent</v>
      </c>
      <c r="I34" t="str">
        <f>IF(E34&gt;=40%,"High Discount",IF(E34&gt;=20%,"Medium Discount","Low Dsicount"))</f>
        <v>High Discount</v>
      </c>
    </row>
    <row r="35" spans="1:9" x14ac:dyDescent="0.35">
      <c r="A35" t="s">
        <v>80</v>
      </c>
      <c r="B35">
        <v>979</v>
      </c>
      <c r="C35" s="3">
        <v>1920</v>
      </c>
      <c r="D35" s="3">
        <f>C35-B35</f>
        <v>941</v>
      </c>
      <c r="E35" s="1">
        <v>0.49</v>
      </c>
      <c r="F35">
        <v>1</v>
      </c>
      <c r="G35">
        <v>5</v>
      </c>
      <c r="H35" t="str">
        <f>IF(G35&gt;=4.5,"Excellent",IF(G35&gt;=3,"Average","Poor"))</f>
        <v>Excellent</v>
      </c>
      <c r="I35" t="str">
        <f>IF(E35&gt;=40%,"High Discount",IF(E35&gt;=20%,"Medium Discount","Low Dsicount"))</f>
        <v>High Discount</v>
      </c>
    </row>
    <row r="36" spans="1:9" x14ac:dyDescent="0.35">
      <c r="C36" s="3"/>
      <c r="D36" s="3"/>
      <c r="E36" s="1"/>
    </row>
    <row r="38" spans="1:9" x14ac:dyDescent="0.35">
      <c r="A38" s="11" t="s">
        <v>137</v>
      </c>
      <c r="B38" s="11" t="s">
        <v>139</v>
      </c>
      <c r="C38" s="11" t="s">
        <v>140</v>
      </c>
      <c r="D38" s="11" t="s">
        <v>141</v>
      </c>
      <c r="E38" s="11" t="s">
        <v>142</v>
      </c>
      <c r="F38" s="11" t="s">
        <v>143</v>
      </c>
      <c r="G38" s="11" t="s">
        <v>144</v>
      </c>
      <c r="H38" s="11" t="s">
        <v>145</v>
      </c>
      <c r="I38" s="11" t="s">
        <v>146</v>
      </c>
    </row>
    <row r="39" spans="1:9" x14ac:dyDescent="0.35">
      <c r="A39" s="2" t="s">
        <v>0</v>
      </c>
      <c r="B39" s="2" t="s">
        <v>1</v>
      </c>
      <c r="C39" s="2" t="s">
        <v>112</v>
      </c>
      <c r="D39" s="2" t="s">
        <v>113</v>
      </c>
      <c r="E39" s="5" t="s">
        <v>124</v>
      </c>
      <c r="F39" s="2" t="s">
        <v>2</v>
      </c>
      <c r="G39" s="2" t="s">
        <v>111</v>
      </c>
      <c r="H39" s="2" t="s">
        <v>116</v>
      </c>
      <c r="I39" s="2" t="s">
        <v>123</v>
      </c>
    </row>
    <row r="40" spans="1:9" x14ac:dyDescent="0.35">
      <c r="A40" t="s">
        <v>52</v>
      </c>
      <c r="B40" s="3">
        <v>1660</v>
      </c>
      <c r="C40" s="3">
        <v>1699</v>
      </c>
      <c r="D40" s="3">
        <f t="shared" ref="D40:D45" si="6">C40-B40</f>
        <v>39</v>
      </c>
      <c r="E40" s="1">
        <v>0.02</v>
      </c>
      <c r="F40">
        <v>0</v>
      </c>
      <c r="G40">
        <v>0</v>
      </c>
      <c r="H40" t="str">
        <f t="shared" ref="H40:H45" si="7">IF(G40&gt;=4.5,"Excellent",IF(G40&gt;=3,"Average","Poor"))</f>
        <v>Poor</v>
      </c>
      <c r="I40" t="str">
        <f t="shared" ref="I40:I45" si="8">IF(E40&gt;=40%,"High Discount",IF(E40&gt;=20%,"Medium Discount","Low Dsicount"))</f>
        <v>Low Dsicount</v>
      </c>
    </row>
    <row r="41" spans="1:9" x14ac:dyDescent="0.35">
      <c r="A41" t="s">
        <v>82</v>
      </c>
      <c r="B41" s="3">
        <v>1666</v>
      </c>
      <c r="C41" s="3">
        <v>1699</v>
      </c>
      <c r="D41" s="3">
        <f t="shared" si="6"/>
        <v>33</v>
      </c>
      <c r="E41" s="1">
        <v>0.02</v>
      </c>
      <c r="F41">
        <v>0</v>
      </c>
      <c r="G41">
        <v>0</v>
      </c>
      <c r="H41" t="str">
        <f t="shared" si="7"/>
        <v>Poor</v>
      </c>
      <c r="I41" t="str">
        <f t="shared" si="8"/>
        <v>Low Dsicount</v>
      </c>
    </row>
    <row r="42" spans="1:9" x14ac:dyDescent="0.35">
      <c r="A42" t="s">
        <v>95</v>
      </c>
      <c r="B42" s="3">
        <v>1462</v>
      </c>
      <c r="C42" s="3">
        <v>1499</v>
      </c>
      <c r="D42" s="3">
        <f t="shared" si="6"/>
        <v>37</v>
      </c>
      <c r="E42" s="1">
        <v>0.02</v>
      </c>
      <c r="F42">
        <v>0</v>
      </c>
      <c r="G42">
        <v>0</v>
      </c>
      <c r="H42" t="str">
        <f t="shared" si="7"/>
        <v>Poor</v>
      </c>
      <c r="I42" t="str">
        <f t="shared" si="8"/>
        <v>Low Dsicount</v>
      </c>
    </row>
    <row r="43" spans="1:9" x14ac:dyDescent="0.35">
      <c r="A43" t="s">
        <v>106</v>
      </c>
      <c r="B43" s="3">
        <v>1658</v>
      </c>
      <c r="C43" s="3">
        <v>1699</v>
      </c>
      <c r="D43" s="3">
        <f t="shared" si="6"/>
        <v>41</v>
      </c>
      <c r="E43" s="1">
        <v>0.02</v>
      </c>
      <c r="F43">
        <v>0</v>
      </c>
      <c r="G43">
        <v>0</v>
      </c>
      <c r="H43" t="str">
        <f t="shared" si="7"/>
        <v>Poor</v>
      </c>
      <c r="I43" t="str">
        <f t="shared" si="8"/>
        <v>Low Dsicount</v>
      </c>
    </row>
    <row r="44" spans="1:9" x14ac:dyDescent="0.35">
      <c r="A44" t="s">
        <v>107</v>
      </c>
      <c r="B44" s="3">
        <v>1768</v>
      </c>
      <c r="C44" s="3">
        <v>1799</v>
      </c>
      <c r="D44" s="3">
        <f t="shared" si="6"/>
        <v>31</v>
      </c>
      <c r="E44" s="1">
        <v>0.02</v>
      </c>
      <c r="F44">
        <v>0</v>
      </c>
      <c r="G44">
        <v>0</v>
      </c>
      <c r="H44" t="str">
        <f t="shared" si="7"/>
        <v>Poor</v>
      </c>
      <c r="I44" t="str">
        <f t="shared" si="8"/>
        <v>Low Dsicount</v>
      </c>
    </row>
    <row r="45" spans="1:9" x14ac:dyDescent="0.35">
      <c r="A45" t="s">
        <v>102</v>
      </c>
      <c r="B45" s="3">
        <v>1875</v>
      </c>
      <c r="C45" s="3">
        <v>1899</v>
      </c>
      <c r="D45" s="3">
        <f t="shared" si="6"/>
        <v>24</v>
      </c>
      <c r="E45" s="1">
        <v>0.01</v>
      </c>
      <c r="F45">
        <v>0</v>
      </c>
      <c r="G45">
        <v>0</v>
      </c>
      <c r="H45" t="str">
        <f t="shared" si="7"/>
        <v>Poor</v>
      </c>
      <c r="I45" t="str">
        <f t="shared" si="8"/>
        <v>Low Dsicount</v>
      </c>
    </row>
  </sheetData>
  <conditionalFormatting sqref="A3:A13">
    <cfRule type="duplicateValues" dxfId="31" priority="7"/>
  </conditionalFormatting>
  <conditionalFormatting sqref="A2">
    <cfRule type="duplicateValues" dxfId="30" priority="6"/>
  </conditionalFormatting>
  <conditionalFormatting sqref="A16:A29">
    <cfRule type="duplicateValues" dxfId="29" priority="5"/>
  </conditionalFormatting>
  <conditionalFormatting sqref="A31:A36">
    <cfRule type="duplicateValues" dxfId="28" priority="4"/>
  </conditionalFormatting>
  <conditionalFormatting sqref="A30">
    <cfRule type="duplicateValues" dxfId="27" priority="3"/>
  </conditionalFormatting>
  <conditionalFormatting sqref="A40:A45">
    <cfRule type="duplicateValues" dxfId="26" priority="2"/>
  </conditionalFormatting>
  <conditionalFormatting sqref="A39">
    <cfRule type="duplicateValues" dxfId="25" priority="1"/>
  </conditionalFormatting>
  <pageMargins left="0.7" right="0.7" top="0.75" bottom="0.75" header="0.3" footer="0.3"/>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9B9D2-4799-48D8-9F94-CB9DD21A24A5}">
  <dimension ref="A3:N76"/>
  <sheetViews>
    <sheetView topLeftCell="A25" zoomScale="50" zoomScaleNormal="50" workbookViewId="0">
      <selection activeCell="E68" sqref="E68"/>
    </sheetView>
  </sheetViews>
  <sheetFormatPr defaultRowHeight="14.5" x14ac:dyDescent="0.35"/>
  <cols>
    <col min="1" max="1" width="80.6328125" bestFit="1" customWidth="1"/>
    <col min="2" max="2" width="38.453125" bestFit="1" customWidth="1"/>
    <col min="11" max="11" width="16.36328125" bestFit="1" customWidth="1"/>
    <col min="12" max="12" width="27.7265625" bestFit="1" customWidth="1"/>
    <col min="13" max="13" width="17.6328125" bestFit="1" customWidth="1"/>
    <col min="14" max="14" width="13.90625" bestFit="1" customWidth="1"/>
  </cols>
  <sheetData>
    <row r="3" spans="1:14" x14ac:dyDescent="0.35">
      <c r="A3" s="8" t="s">
        <v>125</v>
      </c>
      <c r="B3" t="s">
        <v>130</v>
      </c>
    </row>
    <row r="4" spans="1:14" x14ac:dyDescent="0.35">
      <c r="A4" s="9" t="s">
        <v>39</v>
      </c>
      <c r="B4" s="4">
        <v>5</v>
      </c>
    </row>
    <row r="5" spans="1:14" x14ac:dyDescent="0.35">
      <c r="A5" s="9" t="s">
        <v>20</v>
      </c>
      <c r="B5" s="4">
        <v>5</v>
      </c>
    </row>
    <row r="6" spans="1:14" x14ac:dyDescent="0.35">
      <c r="A6" s="9" t="s">
        <v>100</v>
      </c>
      <c r="B6" s="4">
        <v>5</v>
      </c>
      <c r="K6" t="s">
        <v>130</v>
      </c>
      <c r="L6" t="s">
        <v>163</v>
      </c>
      <c r="M6" t="s">
        <v>166</v>
      </c>
      <c r="N6" t="s">
        <v>167</v>
      </c>
    </row>
    <row r="7" spans="1:14" x14ac:dyDescent="0.35">
      <c r="A7" s="9" t="s">
        <v>18</v>
      </c>
      <c r="B7" s="4">
        <v>5</v>
      </c>
      <c r="K7" s="19">
        <v>2.0017699115044247</v>
      </c>
      <c r="L7" s="20">
        <v>0.36787610619469024</v>
      </c>
      <c r="M7" s="4">
        <v>113</v>
      </c>
      <c r="N7" s="4">
        <v>725</v>
      </c>
    </row>
    <row r="8" spans="1:14" x14ac:dyDescent="0.35">
      <c r="A8" s="9" t="s">
        <v>19</v>
      </c>
      <c r="B8" s="4">
        <v>5</v>
      </c>
    </row>
    <row r="9" spans="1:14" x14ac:dyDescent="0.35">
      <c r="A9" s="9" t="s">
        <v>80</v>
      </c>
      <c r="B9" s="4">
        <v>5</v>
      </c>
    </row>
    <row r="10" spans="1:14" x14ac:dyDescent="0.35">
      <c r="A10" s="9" t="s">
        <v>38</v>
      </c>
      <c r="B10" s="4">
        <v>5</v>
      </c>
    </row>
    <row r="11" spans="1:14" x14ac:dyDescent="0.35">
      <c r="A11" s="9" t="s">
        <v>11</v>
      </c>
      <c r="B11" s="4">
        <v>4.8</v>
      </c>
    </row>
    <row r="12" spans="1:14" x14ac:dyDescent="0.35">
      <c r="A12" s="9" t="s">
        <v>7</v>
      </c>
      <c r="B12" s="4">
        <v>4.8</v>
      </c>
    </row>
    <row r="13" spans="1:14" x14ac:dyDescent="0.35">
      <c r="A13" s="9" t="s">
        <v>15</v>
      </c>
      <c r="B13" s="4">
        <v>4.8</v>
      </c>
    </row>
    <row r="14" spans="1:14" x14ac:dyDescent="0.35">
      <c r="A14" s="9" t="s">
        <v>129</v>
      </c>
      <c r="B14" s="4">
        <v>4.9399999999999995</v>
      </c>
    </row>
    <row r="18" spans="1:2" x14ac:dyDescent="0.35">
      <c r="A18" s="8" t="s">
        <v>125</v>
      </c>
      <c r="B18" t="s">
        <v>147</v>
      </c>
    </row>
    <row r="19" spans="1:2" x14ac:dyDescent="0.35">
      <c r="A19" s="9" t="s">
        <v>63</v>
      </c>
      <c r="B19" s="4">
        <v>69</v>
      </c>
    </row>
    <row r="20" spans="1:2" x14ac:dyDescent="0.35">
      <c r="A20" s="9" t="s">
        <v>9</v>
      </c>
      <c r="B20" s="4">
        <v>55</v>
      </c>
    </row>
    <row r="21" spans="1:2" x14ac:dyDescent="0.35">
      <c r="A21" s="9" t="s">
        <v>28</v>
      </c>
      <c r="B21" s="4">
        <v>49</v>
      </c>
    </row>
    <row r="22" spans="1:2" x14ac:dyDescent="0.35">
      <c r="A22" s="9" t="s">
        <v>22</v>
      </c>
      <c r="B22" s="4">
        <v>44</v>
      </c>
    </row>
    <row r="23" spans="1:2" x14ac:dyDescent="0.35">
      <c r="A23" s="9" t="s">
        <v>14</v>
      </c>
      <c r="B23" s="4">
        <v>39</v>
      </c>
    </row>
    <row r="24" spans="1:2" x14ac:dyDescent="0.35">
      <c r="A24" s="9" t="s">
        <v>40</v>
      </c>
      <c r="B24" s="4">
        <v>36</v>
      </c>
    </row>
    <row r="25" spans="1:2" x14ac:dyDescent="0.35">
      <c r="A25" s="9" t="s">
        <v>37</v>
      </c>
      <c r="B25" s="4">
        <v>32</v>
      </c>
    </row>
    <row r="26" spans="1:2" x14ac:dyDescent="0.35">
      <c r="A26" s="9" t="s">
        <v>5</v>
      </c>
      <c r="B26" s="4">
        <v>24</v>
      </c>
    </row>
    <row r="27" spans="1:2" x14ac:dyDescent="0.35">
      <c r="A27" s="9" t="s">
        <v>36</v>
      </c>
      <c r="B27" s="4">
        <v>20</v>
      </c>
    </row>
    <row r="28" spans="1:2" x14ac:dyDescent="0.35">
      <c r="A28" s="9" t="s">
        <v>31</v>
      </c>
      <c r="B28" s="4">
        <v>20</v>
      </c>
    </row>
    <row r="29" spans="1:2" x14ac:dyDescent="0.35">
      <c r="A29" s="9" t="s">
        <v>129</v>
      </c>
      <c r="B29" s="4">
        <v>388</v>
      </c>
    </row>
    <row r="31" spans="1:2" x14ac:dyDescent="0.35">
      <c r="A31" s="8" t="s">
        <v>125</v>
      </c>
      <c r="B31" t="s">
        <v>163</v>
      </c>
    </row>
    <row r="32" spans="1:2" x14ac:dyDescent="0.35">
      <c r="A32" s="9" t="s">
        <v>108</v>
      </c>
      <c r="B32" s="1">
        <v>0.64</v>
      </c>
    </row>
    <row r="33" spans="1:2" x14ac:dyDescent="0.35">
      <c r="A33" s="9" t="s">
        <v>11</v>
      </c>
      <c r="B33" s="1">
        <v>0.55000000000000004</v>
      </c>
    </row>
    <row r="34" spans="1:2" x14ac:dyDescent="0.35">
      <c r="A34" s="9" t="s">
        <v>62</v>
      </c>
      <c r="B34" s="1">
        <v>0.55000000000000004</v>
      </c>
    </row>
    <row r="35" spans="1:2" x14ac:dyDescent="0.35">
      <c r="A35" s="9" t="s">
        <v>50</v>
      </c>
      <c r="B35" s="1">
        <v>0.55000000000000004</v>
      </c>
    </row>
    <row r="36" spans="1:2" x14ac:dyDescent="0.35">
      <c r="A36" s="9" t="s">
        <v>27</v>
      </c>
      <c r="B36" s="1">
        <v>0.54</v>
      </c>
    </row>
    <row r="37" spans="1:2" x14ac:dyDescent="0.35">
      <c r="A37" s="9" t="s">
        <v>61</v>
      </c>
      <c r="B37" s="1">
        <v>0.54</v>
      </c>
    </row>
    <row r="38" spans="1:2" x14ac:dyDescent="0.35">
      <c r="A38" s="9" t="s">
        <v>39</v>
      </c>
      <c r="B38" s="1">
        <v>0.53</v>
      </c>
    </row>
    <row r="39" spans="1:2" x14ac:dyDescent="0.35">
      <c r="A39" s="9" t="s">
        <v>23</v>
      </c>
      <c r="B39" s="1">
        <v>0.53</v>
      </c>
    </row>
    <row r="40" spans="1:2" x14ac:dyDescent="0.35">
      <c r="A40" s="9" t="s">
        <v>33</v>
      </c>
      <c r="B40" s="1">
        <v>0.52</v>
      </c>
    </row>
    <row r="41" spans="1:2" x14ac:dyDescent="0.35">
      <c r="A41" s="9" t="s">
        <v>64</v>
      </c>
      <c r="B41" s="1">
        <v>0.52</v>
      </c>
    </row>
    <row r="42" spans="1:2" x14ac:dyDescent="0.35">
      <c r="A42" s="9" t="s">
        <v>129</v>
      </c>
      <c r="B42" s="1">
        <v>0.54727272727272724</v>
      </c>
    </row>
    <row r="47" spans="1:2" x14ac:dyDescent="0.35">
      <c r="A47" s="8" t="s">
        <v>125</v>
      </c>
      <c r="B47" t="s">
        <v>151</v>
      </c>
    </row>
    <row r="48" spans="1:2" x14ac:dyDescent="0.35">
      <c r="A48" s="9" t="s">
        <v>133</v>
      </c>
      <c r="B48" s="4">
        <v>67</v>
      </c>
    </row>
    <row r="49" spans="1:2" x14ac:dyDescent="0.35">
      <c r="A49" s="9" t="s">
        <v>132</v>
      </c>
      <c r="B49" s="4">
        <v>24</v>
      </c>
    </row>
    <row r="50" spans="1:2" x14ac:dyDescent="0.35">
      <c r="A50" s="9" t="s">
        <v>131</v>
      </c>
      <c r="B50" s="4">
        <v>22</v>
      </c>
    </row>
    <row r="51" spans="1:2" x14ac:dyDescent="0.35">
      <c r="A51" s="9" t="s">
        <v>129</v>
      </c>
      <c r="B51" s="4">
        <v>113</v>
      </c>
    </row>
    <row r="62" spans="1:2" x14ac:dyDescent="0.35">
      <c r="A62" s="8" t="s">
        <v>125</v>
      </c>
      <c r="B62" t="s">
        <v>151</v>
      </c>
    </row>
    <row r="63" spans="1:2" x14ac:dyDescent="0.35">
      <c r="A63" s="9" t="s">
        <v>126</v>
      </c>
      <c r="B63" s="4">
        <v>63</v>
      </c>
    </row>
    <row r="64" spans="1:2" x14ac:dyDescent="0.35">
      <c r="A64" s="9" t="s">
        <v>128</v>
      </c>
      <c r="B64" s="4">
        <v>32</v>
      </c>
    </row>
    <row r="65" spans="1:2" x14ac:dyDescent="0.35">
      <c r="A65" s="9" t="s">
        <v>127</v>
      </c>
      <c r="B65" s="4">
        <v>18</v>
      </c>
    </row>
    <row r="66" spans="1:2" x14ac:dyDescent="0.35">
      <c r="A66" s="9" t="s">
        <v>129</v>
      </c>
      <c r="B66" s="4">
        <v>113</v>
      </c>
    </row>
    <row r="72" spans="1:2" x14ac:dyDescent="0.35">
      <c r="A72" s="8" t="s">
        <v>125</v>
      </c>
      <c r="B72" t="s">
        <v>130</v>
      </c>
    </row>
    <row r="73" spans="1:2" x14ac:dyDescent="0.35">
      <c r="A73" s="9" t="s">
        <v>126</v>
      </c>
      <c r="B73" s="19">
        <v>1.7999999999999994</v>
      </c>
    </row>
    <row r="74" spans="1:2" x14ac:dyDescent="0.35">
      <c r="A74" s="9" t="s">
        <v>127</v>
      </c>
      <c r="B74" s="19">
        <v>0.82777777777777772</v>
      </c>
    </row>
    <row r="75" spans="1:2" x14ac:dyDescent="0.35">
      <c r="A75" s="9" t="s">
        <v>128</v>
      </c>
      <c r="B75" s="19">
        <v>3.0593749999999997</v>
      </c>
    </row>
    <row r="76" spans="1:2" x14ac:dyDescent="0.35">
      <c r="A76" s="9" t="s">
        <v>129</v>
      </c>
      <c r="B76" s="19">
        <v>2.0017699115044238</v>
      </c>
    </row>
  </sheetData>
  <pageMargins left="0.7" right="0.7" top="0.75" bottom="0.75" header="0.3" footer="0.3"/>
  <pageSetup orientation="portrait" horizontalDpi="4294967293" verticalDpi="0"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BEAA4-FFD2-48B2-9180-9184F1320BAC}">
  <dimension ref="A1:S16"/>
  <sheetViews>
    <sheetView showGridLines="0" zoomScale="40" zoomScaleNormal="40" workbookViewId="0">
      <selection activeCell="G40" sqref="G40"/>
    </sheetView>
  </sheetViews>
  <sheetFormatPr defaultRowHeight="14.5" x14ac:dyDescent="0.35"/>
  <cols>
    <col min="1" max="1" width="13.90625" style="13" bestFit="1" customWidth="1"/>
    <col min="2" max="2" width="15.54296875" style="13" bestFit="1" customWidth="1"/>
    <col min="3" max="3" width="15.81640625" style="13" bestFit="1" customWidth="1"/>
    <col min="4" max="4" width="9.7265625" style="13" bestFit="1" customWidth="1"/>
    <col min="5" max="5" width="8.7265625" style="13"/>
    <col min="6" max="6" width="8.7265625" style="13" customWidth="1"/>
    <col min="7" max="16384" width="8.7265625" style="13"/>
  </cols>
  <sheetData>
    <row r="1" spans="1:19" x14ac:dyDescent="0.35">
      <c r="A1" s="12"/>
      <c r="G1" s="21" t="s">
        <v>150</v>
      </c>
      <c r="H1" s="21"/>
      <c r="I1" s="21"/>
      <c r="J1" s="21"/>
      <c r="K1" s="21"/>
    </row>
    <row r="2" spans="1:19" s="17" customFormat="1" x14ac:dyDescent="0.35">
      <c r="A2" s="17" t="s">
        <v>152</v>
      </c>
      <c r="B2" s="17" t="s">
        <v>153</v>
      </c>
      <c r="C2" s="17" t="s">
        <v>154</v>
      </c>
      <c r="D2" s="17" t="s">
        <v>148</v>
      </c>
      <c r="F2" s="18" t="s">
        <v>155</v>
      </c>
      <c r="H2" s="22" t="s">
        <v>157</v>
      </c>
      <c r="I2" s="22"/>
      <c r="K2" s="18" t="s">
        <v>156</v>
      </c>
      <c r="M2" s="22" t="s">
        <v>158</v>
      </c>
      <c r="N2" s="22"/>
    </row>
    <row r="3" spans="1:19" x14ac:dyDescent="0.35">
      <c r="A3" s="14">
        <v>113</v>
      </c>
      <c r="B3" s="14">
        <v>725</v>
      </c>
      <c r="C3" s="15">
        <v>0.36787610619469024</v>
      </c>
      <c r="D3" s="16">
        <v>2.0017699115044243</v>
      </c>
    </row>
    <row r="6" spans="1:19" ht="18.5" x14ac:dyDescent="0.45">
      <c r="A6" s="26" t="s">
        <v>159</v>
      </c>
      <c r="B6" s="26"/>
      <c r="C6" s="26"/>
      <c r="G6" s="26" t="s">
        <v>161</v>
      </c>
      <c r="H6" s="26"/>
      <c r="I6" s="26"/>
      <c r="J6" s="26"/>
      <c r="O6" s="27" t="s">
        <v>162</v>
      </c>
      <c r="P6" s="27"/>
      <c r="Q6" s="27"/>
      <c r="R6" s="27"/>
      <c r="S6" s="27"/>
    </row>
    <row r="7" spans="1:19" x14ac:dyDescent="0.35">
      <c r="B7" s="21"/>
      <c r="C7" s="21"/>
      <c r="G7" s="26"/>
      <c r="H7" s="26"/>
      <c r="I7" s="26"/>
      <c r="J7" s="26"/>
    </row>
    <row r="9" spans="1:19" x14ac:dyDescent="0.35">
      <c r="B9" s="21"/>
      <c r="C9" s="21"/>
    </row>
    <row r="10" spans="1:19" ht="21" x14ac:dyDescent="0.5">
      <c r="B10" s="24"/>
      <c r="C10" s="24"/>
    </row>
    <row r="12" spans="1:19" x14ac:dyDescent="0.35">
      <c r="B12" s="21"/>
      <c r="C12" s="21"/>
    </row>
    <row r="13" spans="1:19" ht="21" x14ac:dyDescent="0.5">
      <c r="B13" s="23"/>
      <c r="C13" s="23"/>
    </row>
    <row r="15" spans="1:19" x14ac:dyDescent="0.35">
      <c r="B15" s="21"/>
      <c r="C15" s="21"/>
    </row>
    <row r="16" spans="1:19" ht="21" x14ac:dyDescent="0.5">
      <c r="B16" s="25"/>
      <c r="C16" s="25"/>
    </row>
  </sheetData>
  <mergeCells count="13">
    <mergeCell ref="B15:C15"/>
    <mergeCell ref="B16:C16"/>
    <mergeCell ref="A6:C6"/>
    <mergeCell ref="G6:J7"/>
    <mergeCell ref="O6:S6"/>
    <mergeCell ref="G1:K1"/>
    <mergeCell ref="H2:I2"/>
    <mergeCell ref="M2:N2"/>
    <mergeCell ref="B12:C12"/>
    <mergeCell ref="B13:C13"/>
    <mergeCell ref="B9:C9"/>
    <mergeCell ref="B10:C10"/>
    <mergeCell ref="B7:C7"/>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30A3-DD2A-4BFD-9FB5-BEA8BA45154F}">
  <dimension ref="A1:O8"/>
  <sheetViews>
    <sheetView showGridLines="0" tabSelected="1" zoomScale="30" zoomScaleNormal="30" workbookViewId="0">
      <selection activeCell="C69" sqref="C69"/>
    </sheetView>
  </sheetViews>
  <sheetFormatPr defaultRowHeight="14.5" x14ac:dyDescent="0.35"/>
  <sheetData>
    <row r="1" spans="1:15" s="31" customFormat="1" x14ac:dyDescent="0.35">
      <c r="A1" s="31" t="s">
        <v>169</v>
      </c>
    </row>
    <row r="2" spans="1:15" s="31" customFormat="1" x14ac:dyDescent="0.35"/>
    <row r="3" spans="1:15" s="31" customFormat="1" x14ac:dyDescent="0.35"/>
    <row r="4" spans="1:15" s="31" customFormat="1" x14ac:dyDescent="0.35"/>
    <row r="5" spans="1:15" s="31" customFormat="1" x14ac:dyDescent="0.35"/>
    <row r="8" spans="1:15" ht="15.5" x14ac:dyDescent="0.35">
      <c r="E8" s="28"/>
      <c r="F8" s="28"/>
      <c r="H8" s="29"/>
      <c r="I8" s="29"/>
      <c r="K8" s="30"/>
      <c r="L8" s="30"/>
      <c r="N8" s="29"/>
      <c r="O8" s="29"/>
    </row>
  </sheetData>
  <mergeCells count="5">
    <mergeCell ref="E8:F8"/>
    <mergeCell ref="H8:I8"/>
    <mergeCell ref="K8:L8"/>
    <mergeCell ref="N8:O8"/>
    <mergeCell ref="A1:XFD5"/>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Excel_jumia</vt:lpstr>
      <vt:lpstr>Descriptive analysis</vt:lpstr>
      <vt:lpstr>Product Peformance</vt:lpstr>
      <vt:lpstr>Pivottables</vt:lpstr>
      <vt:lpstr>Dashboard</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Ritah Wangila</dc:creator>
  <cp:lastModifiedBy>Ritah Wangila</cp:lastModifiedBy>
  <dcterms:created xsi:type="dcterms:W3CDTF">2026-03-18T07:51:43Z</dcterms:created>
  <dcterms:modified xsi:type="dcterms:W3CDTF">2026-06-11T10:56:06Z</dcterms:modified>
</cp:coreProperties>
</file>